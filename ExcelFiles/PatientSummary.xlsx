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184C5E76-630C-4FA7-A836-1A73BA63C57A}" xr6:coauthVersionLast="47" xr6:coauthVersionMax="47" xr10:uidLastSave="{00000000-0000-0000-0000-000000000000}"/>
  <bookViews>
    <workbookView xWindow="-120" yWindow="-120" windowWidth="24240" windowHeight="13020" firstSheet="46" activeTab="50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AddWorklist" sheetId="73" r:id="rId56"/>
    <sheet name="EditTask" sheetId="56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6" l="1"/>
  <c r="H2" i="55"/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<sst xmlns="http://schemas.openxmlformats.org/spreadsheetml/2006/main" count="1405" uniqueCount="725">
  <si>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</si>
  <si>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</si>
  <si>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</si>
  <si>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</si>
  <si>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</si>
  <si>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</si>
  <si>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</si>
  <si>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</si>
  <si>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</si>
  <si>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</si>
  <si>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</si>
  <si>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</si>
  <si>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</si>
  <si>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</si>
  <si>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</si>
  <si>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</si>
  <si>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</si>
  <si>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</si>
  <si>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</si>
  <si>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</si>
  <si>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</si>
  <si>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</si>
  <si>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</si>
  <si>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</si>
  <si>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</si>
  <si>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</si>
  <si>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</si>
  <si>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</si>
  <si>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</si>
  <si>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</si>
  <si>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</si>
  <si>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</si>
  <si>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</si>
  <si>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</si>
  <si>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</si>
  <si>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</si>
  <si>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</si>
  <si>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</si>
  <si>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</si>
  <si>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</si>
  <si>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</si>
  <si>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</si>
  <si>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</si>
  <si>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</si>
  <si>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</si>
  <si>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</si>
  <si>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</si>
  <si>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</si>
  <si>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</si>
  <si>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</si>
  <si>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</si>
  <si>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</si>
  <si>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</si>
  <si>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</si>
  <si>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</si>
  <si>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</si>
  <si>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</si>
  <si>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</si>
  <si>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</si>
  <si>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</si>
  <si>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</si>
  <si>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</si>
  <si>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</si>
  <si>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</si>
  <si>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</si>
  <si>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</si>
  <si>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</si>
  <si>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</si>
  <si>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</si>
  <si>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</si>
  <si>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</si>
  <si>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</si>
  <si>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</si>
  <si>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</si>
  <si>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</si>
  <si>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</si>
  <si>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</si>
  <si>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</si>
  <si>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</si>
  <si>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</si>
  <si>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</si>
  <si>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</si>
  <si>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</si>
  <si>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</si>
  <si>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</si>
  <si>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</si>
  <si>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</si>
  <si>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</si>
  <si>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</si>
  <si>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</si>
  <si>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</si>
  <si>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</si>
  <si>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</si>
  <si>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</si>
  <si>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</si>
  <si>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</si>
  <si>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</si>
  <si>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</si>
  <si>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</si>
  <si>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</si>
  <si>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</si>
  <si>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</si>
  <si>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</si>
  <si>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</si>
  <si>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</si>
  <si>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</si>
  <si>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</si>
  <si>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</si>
  <si>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</si>
  <si>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</si>
  <si>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</si>
  <si>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</si>
  <si>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</si>
  <si>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</si>
  <si>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</si>
  <si>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</si>
  <si>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</si>
  <si>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</si>
  <si>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</si>
  <si>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</si>
  <si>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</si>
  <si>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</si>
  <si>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</si>
  <si>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</si>
  <si>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</si>
  <si>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</si>
  <si>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</si>
  <si>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</si>
  <si>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</si>
  <si>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</si>
  <si>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</si>
  <si>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</si>
  <si>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</si>
  <si>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</si>
  <si>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</si>
  <si>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</si>
  <si>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</si>
  <si>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</si>
  <si>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</si>
  <si>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</si>
  <si>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</si>
  <si>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</si>
  <si>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</si>
  <si>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</si>
  <si>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</si>
  <si>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</si>
  <si>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</si>
  <si>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</si>
  <si>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</si>
  <si>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</si>
  <si>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</si>
  <si>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</si>
  <si>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</si>
  <si>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</si>
  <si>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</si>
  <si>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</si>
  <si>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</si>
  <si>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</si>
  <si>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</si>
  <si>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</si>
  <si>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</si>
  <si>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</si>
  <si>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</si>
  <si>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</si>
  <si>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</si>
  <si>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</si>
  <si>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</si>
  <si>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</si>
  <si>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</si>
  <si>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</si>
  <si>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</si>
  <si>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</si>
  <si>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</si>
  <si>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</si>
  <si>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</si>
  <si>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</si>
  <si>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</si>
  <si>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</si>
  <si>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</si>
  <si>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</si>
  <si>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</si>
  <si>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</si>
  <si>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</si>
  <si>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</si>
  <si>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</si>
  <si>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</si>
  <si>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</si>
  <si>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</si>
  <si>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</si>
  <si>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</si>
  <si>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</si>
  <si>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</si>
  <si>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</si>
  <si>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</si>
  <si>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</si>
  <si>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</si>
  <si>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</si>
  <si>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</si>
  <si>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</si>
  <si>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</si>
  <si>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</si>
  <si>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</si>
  <si>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</si>
  <si>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</si>
  <si>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</si>
  <si>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</si>
  <si>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</si>
  <si>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</si>
  <si>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</si>
  <si>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</si>
  <si>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</si>
  <si>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</si>
  <si>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</si>
  <si>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</si>
  <si>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</si>
  <si>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</si>
  <si>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</si>
  <si>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</si>
  <si>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</si>
  <si>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</si>
  <si>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</si>
  <si>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</si>
  <si>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</si>
  <si>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</si>
  <si>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</si>
  <si>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</si>
  <si>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</si>
  <si>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</si>
  <si>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</si>
  <si>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</si>
  <si>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</si>
  <si>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</si>
  <si>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</si>
  <si>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</si>
  <si>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</si>
  <si>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</si>
  <si>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</si>
  <si>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</si>
  <si>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</si>
  <si>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</si>
  <si>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</si>
  <si>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</si>
  <si>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</si>
  <si>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</si>
  <si>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</si>
  <si>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</si>
  <si>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</si>
  <si>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</si>
  <si>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</si>
  <si>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</si>
  <si>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</si>
  <si>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</si>
  <si>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</si>
  <si>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</si>
  <si>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</si>
  <si>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</si>
  <si>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</si>
  <si>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</si>
  <si>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</si>
  <si>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</si>
  <si>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</si>
  <si>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</si>
  <si>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</si>
  <si>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</si>
  <si>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</si>
  <si>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</si>
  <si>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</si>
  <si>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</si>
  <si>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</si>
  <si>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</si>
  <si>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</si>
  <si>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</si>
  <si>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</si>
  <si>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</si>
  <si>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</si>
  <si>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</si>
  <si>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</si>
  <si>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</si>
  <si>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</si>
  <si>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</si>
  <si>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</si>
  <si>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</si>
  <si>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</si>
  <si>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</si>
  <si>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</si>
  <si>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</si>
  <si>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</si>
  <si>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</si>
  <si>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</si>
  <si>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</si>
  <si>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</si>
  <si>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</si>
  <si>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</si>
  <si>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</si>
  <si>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</si>
  <si>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</si>
  <si>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</si>
  <si>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</si>
  <si>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</si>
  <si>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</si>
  <si>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</si>
  <si>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</si>
  <si>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</si>
  <si>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</si>
  <si>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</si>
  <si>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</si>
  <si>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</si>
  <si>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</si>
  <si>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</si>
  <si>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</si>
  <si>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</si>
  <si>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</si>
  <si>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</si>
  <si>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</si>
  <si>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</si>
  <si>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</si>
  <si>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</si>
  <si>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</si>
  <si>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</si>
  <si>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</si>
  <si>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</si>
  <si>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</si>
  <si>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</si>
  <si>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</si>
  <si>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</si>
  <si>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</si>
  <si>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</si>
  <si>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</si>
  <si>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</si>
  <si>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</si>
  <si>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</si>
  <si>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</si>
  <si>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</si>
  <si>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</si>
  <si>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</si>
  <si>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</si>
  <si>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</si>
  <si>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</si>
  <si>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</si>
  <si>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</si>
  <si>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</si>
  <si>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</si>
  <si>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</si>
  <si>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</si>
  <si>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</si>
  <si>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</si>
  <si>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</si>
  <si>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</si>
  <si>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</si>
  <si>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</si>
  <si>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</si>
  <si>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</si>
  <si>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</si>
  <si>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</si>
  <si>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</si>
  <si>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</si>
  <si>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</si>
  <si>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</si>
  <si>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</si>
  <si>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</si>
  <si>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</si>
  <si>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</si>
  <si>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</si>
  <si>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</si>
  <si>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</si>
  <si>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</si>
  <si>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</si>
  <si>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</si>
  <si>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</si>
  <si>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</si>
  <si>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</si>
  <si>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</si>
  <si>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</si>
  <si>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</si>
  <si>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</si>
  <si>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</si>
  <si>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</si>
  <si>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</si>
  <si>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</si>
  <si>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</si>
  <si>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</si>
  <si>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</si>
  <si>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</si>
  <si>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</si>
  <si>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</si>
  <si>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</si>
  <si>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</si>
  <si>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</si>
  <si>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</si>
  <si>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</si>
  <si>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</si>
  <si>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</si>
  <si>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</si>
  <si>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</si>
  <si>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</si>
  <si>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</si>
  <si>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</si>
  <si>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</si>
  <si>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</si>
  <si>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</si>
  <si>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</si>
  <si>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</si>
  <si>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</si>
  <si>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</si>
  <si>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</si>
  <si>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</si>
  <si>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</si>
  <si>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</si>
  <si>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</si>
  <si>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</si>
  <si>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</si>
  <si>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</si>
  <si>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</si>
  <si>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</si>
  <si>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</si>
  <si>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</si>
  <si>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</si>
  <si>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</si>
  <si>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</si>
  <si>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</si>
  <si>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</si>
  <si>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</si>
  <si>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Saurabh@2025</t>
  </si>
  <si>
    <t>Paracetamol 500mg / Ibuprofen 200mg tablets</t>
  </si>
  <si>
    <t>Low back pain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</si>
  <si>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</si>
  <si>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</si>
  <si>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</si>
  <si>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</si>
  <si>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</si>
  <si>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</si>
  <si>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</si>
  <si>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</si>
  <si>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</si>
  <si>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</si>
  <si>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</si>
  <si>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</si>
  <si>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</si>
  <si>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</si>
  <si>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</si>
  <si>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</si>
  <si>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</si>
  <si>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</si>
  <si>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</si>
  <si>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</si>
  <si>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</si>
  <si>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</si>
  <si>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</si>
  <si>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</si>
  <si>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</si>
  <si>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</si>
  <si>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</si>
  <si>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</si>
  <si>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</si>
  <si>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</si>
  <si>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</si>
  <si>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</si>
  <si>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</si>
  <si>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</si>
  <si>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</si>
  <si>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</si>
  <si>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</si>
  <si>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</si>
  <si>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</si>
  <si>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</si>
  <si>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</si>
  <si>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</si>
  <si>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</si>
  <si>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</si>
  <si>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</si>
  <si>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</si>
  <si>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</si>
  <si>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</si>
  <si>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</si>
  <si>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</si>
  <si>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</si>
  <si>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</si>
  <si>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</si>
  <si>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</si>
  <si>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</si>
  <si>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</si>
  <si>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</si>
  <si>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</si>
  <si>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</si>
  <si>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</si>
  <si>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</si>
  <si>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</si>
  <si>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</si>
  <si>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</si>
  <si>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</si>
  <si>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</si>
  <si>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</si>
  <si>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</si>
  <si>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</si>
  <si>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</si>
  <si>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</si>
  <si>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</si>
  <si>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</si>
  <si>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</si>
  <si>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</si>
  <si>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</si>
  <si>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</si>
  <si>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</si>
  <si>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</si>
  <si>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</si>
  <si>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</si>
  <si>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</si>
  <si>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</si>
  <si>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</si>
  <si>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</si>
  <si>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</si>
  <si>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</si>
  <si>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</si>
  <si>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</si>
  <si>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</si>
  <si>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</si>
  <si>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</si>
  <si>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</si>
  <si>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</si>
  <si>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</si>
  <si>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</si>
  <si>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</si>
  <si>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</si>
  <si>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</si>
  <si>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</si>
  <si>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</si>
  <si>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</si>
  <si>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</si>
  <si>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</si>
  <si>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</si>
  <si>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</si>
  <si>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</si>
  <si>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</si>
  <si>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</si>
  <si>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</si>
  <si>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</si>
  <si>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</si>
  <si>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</si>
  <si>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</si>
  <si>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</si>
  <si>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</si>
  <si>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</si>
  <si>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</si>
  <si>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</si>
  <si>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</si>
  <si>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</si>
  <si>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</si>
  <si>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</si>
  <si>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</si>
  <si>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</si>
  <si>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</si>
  <si>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</si>
  <si>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</si>
  <si>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</si>
  <si>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</si>
  <si>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</si>
  <si>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</si>
  <si>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</si>
  <si>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</si>
  <si>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</si>
  <si>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</si>
  <si>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</si>
  <si>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</si>
  <si>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</si>
  <si>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</si>
  <si>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</si>
  <si>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</si>
  <si>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</si>
  <si>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</si>
  <si>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</si>
  <si>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</si>
  <si>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</si>
  <si>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</si>
  <si>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</si>
  <si>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</si>
  <si>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</si>
  <si>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</si>
  <si>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</si>
  <si>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</si>
  <si>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</si>
  <si>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</si>
  <si>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</si>
  <si>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</si>
  <si>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</si>
  <si>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</si>
  <si>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</si>
  <si>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</si>
  <si>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</si>
  <si>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</si>
  <si>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</si>
  <si>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</si>
  <si>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</si>
  <si>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</si>
  <si>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</si>
  <si>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</si>
  <si>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</si>
  <si>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</si>
  <si>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</si>
  <si>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</si>
  <si>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</si>
  <si>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</si>
  <si>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</si>
  <si>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</si>
  <si>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</si>
  <si>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</si>
  <si>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</si>
  <si>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</si>
  <si>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</si>
  <si>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</si>
  <si>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</si>
  <si>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</si>
  <si>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</si>
  <si>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</si>
  <si>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</si>
  <si>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</si>
  <si>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</si>
  <si>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</si>
  <si>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</si>
  <si>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</si>
  <si>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</si>
  <si>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</si>
  <si>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</si>
  <si>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</si>
  <si>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</si>
  <si>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</si>
  <si>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</si>
  <si>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</si>
  <si>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</si>
  <si>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</si>
  <si>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</si>
  <si>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</si>
  <si>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</si>
  <si>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</si>
  <si>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</si>
  <si>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</si>
  <si>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</si>
  <si>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</si>
  <si>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</si>
  <si>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</si>
  <si>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22/07/2025</t>
  </si>
  <si>
    <t>22/06/2025</t>
  </si>
  <si>
    <t>medadt_medication_status</t>
  </si>
  <si>
    <t>given</t>
  </si>
  <si>
    <t>testing</t>
  </si>
  <si>
    <t>Label</t>
  </si>
  <si>
    <t>Value</t>
  </si>
  <si>
    <t>Blood Pressure (35)</t>
  </si>
  <si>
    <t>Blood Pressure Diastolic (mmHg)</t>
  </si>
  <si>
    <t>Blood Pressure Systolic (mmHg)</t>
  </si>
  <si>
    <t>BMI (body mass index) centile</t>
  </si>
  <si>
    <t>Capillary refill time (seconds)</t>
  </si>
  <si>
    <t>Foetal heart rate</t>
  </si>
  <si>
    <t>Fundal height of uterus</t>
  </si>
  <si>
    <t>Halo sign</t>
  </si>
  <si>
    <t>Height and weight</t>
  </si>
  <si>
    <t>O2 (L/Min)</t>
  </si>
  <si>
    <t>Oxygen (12)</t>
  </si>
  <si>
    <t>Oxygen Saturation Scale 1 (%)</t>
  </si>
  <si>
    <t>Oxygen Saturation Scale 2 (%)</t>
  </si>
  <si>
    <t>PEWS score</t>
  </si>
  <si>
    <t>Physical</t>
  </si>
  <si>
    <t>Pulse (Beats per minute)</t>
  </si>
  <si>
    <t>Pulse-resting-rate(bpm)</t>
  </si>
  <si>
    <t>Respiratory Rate (Breaths per minute)</t>
  </si>
  <si>
    <t>Serum neutralization test</t>
  </si>
  <si>
    <t>SPO2</t>
  </si>
  <si>
    <t>Structure of epiphyseal plate</t>
  </si>
  <si>
    <t>Temperature (degree C)</t>
  </si>
  <si>
    <t>120</t>
  </si>
  <si>
    <t>125</t>
  </si>
  <si>
    <t>99</t>
  </si>
  <si>
    <t>72</t>
  </si>
  <si>
    <t>68</t>
  </si>
  <si>
    <t>52</t>
  </si>
  <si>
    <t>162</t>
  </si>
  <si>
    <t>61</t>
  </si>
  <si>
    <t>100</t>
  </si>
  <si>
    <t>102</t>
  </si>
  <si>
    <t>98</t>
  </si>
  <si>
    <t>55</t>
  </si>
  <si>
    <t>69</t>
  </si>
  <si>
    <t>298</t>
  </si>
  <si>
    <t>78</t>
  </si>
  <si>
    <t>48</t>
  </si>
  <si>
    <t>19</t>
  </si>
  <si>
    <t>89</t>
  </si>
  <si>
    <t>36</t>
  </si>
  <si>
    <t>58</t>
  </si>
  <si>
    <t>News Score (No unit)</t>
  </si>
  <si>
    <t>22/09/2023</t>
  </si>
  <si>
    <t>waterA</t>
  </si>
  <si>
    <t>hosp2562</t>
  </si>
  <si>
    <t>01/07/2025</t>
  </si>
  <si>
    <t>Child at risk</t>
  </si>
  <si>
    <t>manoj.automation</t>
  </si>
  <si>
    <t>Manoj@2025</t>
  </si>
  <si>
    <t>task_category</t>
  </si>
  <si>
    <t>existing_task_search</t>
  </si>
  <si>
    <t>Abacavir 600mg / Lamivudine 300mg tablets</t>
  </si>
  <si>
    <t>task_type</t>
  </si>
  <si>
    <t>Default</t>
  </si>
  <si>
    <t>task_description</t>
  </si>
  <si>
    <t>Added for testing</t>
  </si>
  <si>
    <t>task_action_perform</t>
  </si>
  <si>
    <t>local_code</t>
  </si>
  <si>
    <t>123</t>
  </si>
  <si>
    <t>Add Record</t>
  </si>
  <si>
    <t>Updates for testing</t>
  </si>
  <si>
    <t>456</t>
  </si>
  <si>
    <t>10:00</t>
  </si>
  <si>
    <t>Review</t>
  </si>
  <si>
    <t>start_date</t>
  </si>
  <si>
    <t>end_date</t>
  </si>
  <si>
    <t>wor_name</t>
  </si>
  <si>
    <t>wor_rename</t>
  </si>
  <si>
    <t>Book New Appointment</t>
  </si>
  <si>
    <t>10-10-2024</t>
  </si>
  <si>
    <t>20-10-2024</t>
  </si>
  <si>
    <t>11:00:00</t>
  </si>
  <si>
    <t>Urgent</t>
  </si>
  <si>
    <t>Division of Left Knee Tendon, Open Approach</t>
  </si>
  <si>
    <t>Dietitian</t>
  </si>
  <si>
    <t>Height (cm) (cm)</t>
  </si>
  <si>
    <t>Weight (kg)</t>
  </si>
  <si>
    <t>Past Medical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</si>
</sst>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0C0B0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Saurabh@2025" TargetMode="External"/><Relationship Id="rId5" Type="http://schemas.openxmlformats.org/officeDocument/2006/relationships/hyperlink" Target="mailto:Saurabh@2025" TargetMode="External"/><Relationship Id="rId4" Type="http://schemas.openxmlformats.org/officeDocument/2006/relationships/hyperlink" Target="mailto:Manoj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6"/>
  <sheetViews>
    <sheetView workbookViewId="0">
      <selection activeCell="B5" sqref="B5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279</v>
      </c>
      <c r="B2" s="1" t="s">
        <v>422</v>
      </c>
    </row>
    <row r="3" spans="1:2" x14ac:dyDescent="0.25">
      <c r="A3" t="s">
        <v>366</v>
      </c>
      <c r="B3" s="1" t="s">
        <v>695</v>
      </c>
    </row>
    <row r="4" spans="1:2" x14ac:dyDescent="0.25">
      <c r="A4" t="s">
        <v>694</v>
      </c>
      <c r="B4" s="1" t="s">
        <v>695</v>
      </c>
    </row>
    <row r="5" spans="1:2" x14ac:dyDescent="0.25">
      <c r="A5" t="s">
        <v>366</v>
      </c>
      <c r="B5" s="1" t="s">
        <v>695</v>
      </c>
    </row>
    <row r="6" spans="1:2" x14ac:dyDescent="0.25">
      <c r="A6" t="s">
        <v>279</v>
      </c>
      <c r="B6" s="1" t="s">
        <v>422</v>
      </c>
    </row>
  </sheetData>
  <hyperlinks>
    <hyperlink ref="B6" r:id="rId1" xr:uid="{0C05B6B9-5554-4DE8-9F6A-6002C7FF4022}"/>
    <hyperlink ref="B5" r:id="rId2" xr:uid="{D4AE188D-9B09-40C0-AC46-716391123A5D}"/>
    <hyperlink ref="B4" r:id="rId3" xr:uid="{511CBB1F-6895-4824-9854-87E0171EA2FB}"/>
    <hyperlink ref="B3" r:id="rId4" xr:uid="{6E460DDB-61B0-4176-AB5F-D3D5F3B86887}"/>
    <hyperlink ref="B2" r:id="rId5" xr:uid="{5A790E07-02DF-48DC-8483-9F4D9255DE8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K7" sqref="K7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5" t="s">
        <v>691</v>
      </c>
      <c r="E2" s="3" t="s">
        <v>426</v>
      </c>
      <c r="F2" s="15" t="s">
        <v>690</v>
      </c>
      <c r="G2" s="3" t="s">
        <v>63</v>
      </c>
      <c r="H2" s="3" t="s">
        <v>429</v>
      </c>
      <c r="I2" s="16" t="s">
        <v>689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H2"/>
  <sheetViews>
    <sheetView workbookViewId="0">
      <selection activeCell="X2" sqref="X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23.57031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4.28515625" bestFit="1" customWidth="1"/>
    <col min="34" max="34" width="24.5703125" bestFit="1" customWidth="1"/>
  </cols>
  <sheetData>
    <row r="1" spans="1:34" x14ac:dyDescent="0.25">
      <c r="A1" t="s">
        <v>67</v>
      </c>
      <c r="B1" t="s">
        <v>68</v>
      </c>
      <c r="C1" t="s">
        <v>69</v>
      </c>
      <c r="D1" t="s">
        <v>425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113</v>
      </c>
      <c r="X1" t="s">
        <v>105</v>
      </c>
      <c r="Y1" t="s">
        <v>103</v>
      </c>
      <c r="Z1" t="s">
        <v>106</v>
      </c>
      <c r="AA1" t="s">
        <v>107</v>
      </c>
      <c r="AB1" t="s">
        <v>109</v>
      </c>
      <c r="AC1" t="s">
        <v>106</v>
      </c>
      <c r="AD1" t="s">
        <v>111</v>
      </c>
      <c r="AE1" t="s">
        <v>126</v>
      </c>
      <c r="AF1" t="s">
        <v>180</v>
      </c>
      <c r="AG1" t="s">
        <v>200</v>
      </c>
      <c r="AH1" t="s">
        <v>641</v>
      </c>
    </row>
    <row r="2" spans="1:34" x14ac:dyDescent="0.25">
      <c r="A2" t="s">
        <v>221</v>
      </c>
      <c r="B2" t="s">
        <v>423</v>
      </c>
      <c r="C2" s="5" t="s">
        <v>82</v>
      </c>
      <c r="D2" s="5" t="s">
        <v>636</v>
      </c>
      <c r="E2" t="s">
        <v>71</v>
      </c>
      <c r="F2" t="s">
        <v>73</v>
      </c>
      <c r="G2" t="s">
        <v>73</v>
      </c>
      <c r="H2" s="5" t="s">
        <v>82</v>
      </c>
      <c r="I2" s="5" t="s">
        <v>102</v>
      </c>
      <c r="J2" s="6" t="s">
        <v>637</v>
      </c>
      <c r="K2" s="6" t="s">
        <v>638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114</v>
      </c>
      <c r="W2" s="5" t="s">
        <v>82</v>
      </c>
      <c r="X2" t="s">
        <v>413</v>
      </c>
      <c r="Y2" t="s">
        <v>104</v>
      </c>
      <c r="Z2" s="5" t="s">
        <v>177</v>
      </c>
      <c r="AA2" t="s">
        <v>108</v>
      </c>
      <c r="AB2" s="5" t="s">
        <v>112</v>
      </c>
      <c r="AC2">
        <v>5</v>
      </c>
      <c r="AD2" t="s">
        <v>110</v>
      </c>
      <c r="AE2" t="s">
        <v>175</v>
      </c>
      <c r="AF2" t="s">
        <v>181</v>
      </c>
      <c r="AG2" s="8" t="s">
        <v>201</v>
      </c>
      <c r="AH2" t="s">
        <v>642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425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109</v>
      </c>
      <c r="T1" t="s">
        <v>106</v>
      </c>
      <c r="U1" t="s">
        <v>103</v>
      </c>
      <c r="V1" t="s">
        <v>84</v>
      </c>
      <c r="W1" t="s">
        <v>97</v>
      </c>
    </row>
    <row r="2" spans="1:23" x14ac:dyDescent="0.25">
      <c r="A2" t="s">
        <v>221</v>
      </c>
      <c r="B2" t="str">
        <f>AddMedication!B2</f>
        <v>Paracetamol 500mg / Ibuprofen 200mg tablets</v>
      </c>
      <c r="C2" s="5" t="s">
        <v>112</v>
      </c>
      <c r="D2" s="5" t="s">
        <v>636</v>
      </c>
      <c r="E2" t="s">
        <v>86</v>
      </c>
      <c r="F2" t="s">
        <v>73</v>
      </c>
      <c r="G2" t="s">
        <v>73</v>
      </c>
      <c r="H2" s="5" t="s">
        <v>184</v>
      </c>
      <c r="I2" s="5" t="s">
        <v>112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112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221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216</v>
      </c>
      <c r="C1" t="s">
        <v>68</v>
      </c>
      <c r="D1" t="s">
        <v>124</v>
      </c>
      <c r="E1" t="s">
        <v>115</v>
      </c>
      <c r="F1" t="s">
        <v>132</v>
      </c>
      <c r="G1" t="s">
        <v>117</v>
      </c>
      <c r="H1" t="s">
        <v>126</v>
      </c>
      <c r="I1" t="s">
        <v>128</v>
      </c>
    </row>
    <row r="2" spans="1:9" ht="18.75" customHeight="1" x14ac:dyDescent="0.25">
      <c r="A2" t="s">
        <v>199</v>
      </c>
      <c r="B2" t="s">
        <v>215</v>
      </c>
      <c r="C2" s="5" t="s">
        <v>121</v>
      </c>
      <c r="D2" t="s">
        <v>125</v>
      </c>
      <c r="E2" t="s">
        <v>116</v>
      </c>
      <c r="F2" s="7">
        <v>45407</v>
      </c>
      <c r="G2" s="3" t="s">
        <v>118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115</v>
      </c>
      <c r="E1" t="s">
        <v>119</v>
      </c>
      <c r="F1" t="s">
        <v>117</v>
      </c>
    </row>
    <row r="2" spans="1:6" ht="18.75" customHeight="1" x14ac:dyDescent="0.25">
      <c r="A2" t="s">
        <v>199</v>
      </c>
      <c r="B2" s="5" t="s">
        <v>121</v>
      </c>
      <c r="C2" t="s">
        <v>125</v>
      </c>
      <c r="D2" t="s">
        <v>131</v>
      </c>
      <c r="E2" s="7">
        <v>45407</v>
      </c>
      <c r="F2" s="3" t="s">
        <v>120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199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216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220</v>
      </c>
      <c r="B2" t="s">
        <v>219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220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218</v>
      </c>
      <c r="F2" s="5" t="s">
        <v>217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200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210</v>
      </c>
      <c r="F2" t="s">
        <v>158</v>
      </c>
      <c r="G2" t="s">
        <v>159</v>
      </c>
      <c r="I2" s="9" t="s">
        <v>367</v>
      </c>
      <c r="J2" s="9" t="s">
        <v>367</v>
      </c>
      <c r="K2" s="9" t="s">
        <v>157</v>
      </c>
      <c r="L2" t="s">
        <v>420</v>
      </c>
      <c r="M2" t="s">
        <v>188</v>
      </c>
      <c r="N2" s="8" t="s">
        <v>201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363</v>
      </c>
      <c r="C2" t="s">
        <v>131</v>
      </c>
      <c r="D2" s="7">
        <v>45453</v>
      </c>
      <c r="E2" s="3" t="s">
        <v>118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363</v>
      </c>
      <c r="C2" t="s">
        <v>116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363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02/12/2025</v>
      </c>
      <c r="E2" s="3" t="s">
        <v>197</v>
      </c>
      <c r="F2" t="s">
        <v>194</v>
      </c>
      <c r="G2" s="9" t="s">
        <v>280</v>
      </c>
      <c r="H2" s="9" t="s">
        <v>281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02/12/2025</v>
      </c>
      <c r="E2" s="3" t="s">
        <v>198</v>
      </c>
      <c r="F2" t="s">
        <v>194</v>
      </c>
      <c r="G2" s="6" t="s">
        <v>281</v>
      </c>
      <c r="H2" s="6" t="s">
        <v>282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213</v>
      </c>
      <c r="D1" t="s">
        <v>206</v>
      </c>
      <c r="E1" t="s">
        <v>207</v>
      </c>
      <c r="F1" t="s">
        <v>208</v>
      </c>
      <c r="G1" t="s">
        <v>212</v>
      </c>
      <c r="H1" t="s">
        <v>209</v>
      </c>
      <c r="I1" t="s">
        <v>94</v>
      </c>
      <c r="J1" t="s">
        <v>126</v>
      </c>
      <c r="K1" t="s">
        <v>200</v>
      </c>
      <c r="L1" t="s">
        <v>203</v>
      </c>
      <c r="M1" t="s">
        <v>204</v>
      </c>
      <c r="N1" t="s">
        <v>200</v>
      </c>
    </row>
    <row r="2" spans="1:14" ht="18.75" customHeight="1" x14ac:dyDescent="0.25">
      <c r="A2" t="s">
        <v>211</v>
      </c>
      <c r="B2" t="s">
        <v>720</v>
      </c>
      <c r="C2" s="6" t="s">
        <v>365</v>
      </c>
      <c r="D2" s="6" t="s">
        <v>365</v>
      </c>
      <c r="E2" s="6" t="s">
        <v>102</v>
      </c>
      <c r="F2" s="6" t="s">
        <v>303</v>
      </c>
      <c r="G2" s="3" t="s">
        <v>214</v>
      </c>
      <c r="H2" s="3" t="s">
        <v>210</v>
      </c>
      <c r="I2" s="3" t="s">
        <v>205</v>
      </c>
      <c r="J2" t="s">
        <v>202</v>
      </c>
      <c r="K2" s="7" t="s">
        <v>201</v>
      </c>
      <c r="L2" t="s">
        <v>116</v>
      </c>
      <c r="M2" t="s">
        <v>205</v>
      </c>
      <c r="N2" s="8" t="s">
        <v>201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206</v>
      </c>
      <c r="D1" t="s">
        <v>207</v>
      </c>
      <c r="E1" t="s">
        <v>208</v>
      </c>
      <c r="F1" t="s">
        <v>212</v>
      </c>
      <c r="G1" t="s">
        <v>209</v>
      </c>
      <c r="H1" t="s">
        <v>94</v>
      </c>
      <c r="I1" t="s">
        <v>126</v>
      </c>
      <c r="J1" t="s">
        <v>200</v>
      </c>
      <c r="K1" t="s">
        <v>203</v>
      </c>
      <c r="L1" t="s">
        <v>204</v>
      </c>
    </row>
    <row r="2" spans="1:12" ht="18.75" customHeight="1" x14ac:dyDescent="0.25">
      <c r="A2" t="s">
        <v>211</v>
      </c>
      <c r="B2" t="s">
        <v>720</v>
      </c>
      <c r="C2" s="6">
        <f ca="1">TODAY()</f>
        <v>45993</v>
      </c>
      <c r="D2" s="6" t="s">
        <v>102</v>
      </c>
      <c r="E2" s="6" t="s">
        <v>303</v>
      </c>
      <c r="F2" s="3" t="s">
        <v>214</v>
      </c>
      <c r="G2" s="3" t="s">
        <v>210</v>
      </c>
      <c r="H2" s="3" t="s">
        <v>205</v>
      </c>
      <c r="I2" t="s">
        <v>202</v>
      </c>
      <c r="J2" s="7" t="s">
        <v>201</v>
      </c>
      <c r="K2" t="s">
        <v>116</v>
      </c>
      <c r="L2" t="s">
        <v>205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211</v>
      </c>
      <c r="B2" t="s">
        <v>720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223</v>
      </c>
      <c r="G1" t="s">
        <v>128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75" x14ac:dyDescent="0.25">
      <c r="A2" t="s">
        <v>230</v>
      </c>
      <c r="B2" t="s">
        <v>231</v>
      </c>
      <c r="C2" s="7" t="s">
        <v>136</v>
      </c>
      <c r="D2" s="3" t="s">
        <v>232</v>
      </c>
      <c r="E2" t="s">
        <v>233</v>
      </c>
      <c r="F2" t="s">
        <v>234</v>
      </c>
      <c r="G2">
        <v>57749615244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128</v>
      </c>
      <c r="G1" s="10" t="s">
        <v>223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30" x14ac:dyDescent="0.25">
      <c r="A2" t="s">
        <v>230</v>
      </c>
      <c r="B2" t="s">
        <v>231</v>
      </c>
      <c r="C2" s="7" t="s">
        <v>136</v>
      </c>
      <c r="D2" s="3" t="s">
        <v>238</v>
      </c>
      <c r="E2" t="s">
        <v>233</v>
      </c>
      <c r="F2">
        <v>57749615244</v>
      </c>
      <c r="G2" s="10" t="s">
        <v>234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231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F9" sqref="F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424</v>
      </c>
      <c r="C2" s="7" t="s">
        <v>136</v>
      </c>
      <c r="D2" s="3" t="s">
        <v>246</v>
      </c>
      <c r="E2" t="s">
        <v>247</v>
      </c>
      <c r="F2" s="11" t="s">
        <v>692</v>
      </c>
      <c r="G2" t="s">
        <v>248</v>
      </c>
      <c r="H2" s="11" t="s">
        <v>249</v>
      </c>
      <c r="I2" s="11" t="s">
        <v>250</v>
      </c>
      <c r="J2" s="11" t="s">
        <v>158</v>
      </c>
      <c r="K2" s="11" t="s">
        <v>112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424</v>
      </c>
      <c r="C2" s="7" t="s">
        <v>136</v>
      </c>
      <c r="D2" s="3" t="s">
        <v>251</v>
      </c>
      <c r="E2" t="s">
        <v>247</v>
      </c>
      <c r="F2" s="11" t="s">
        <v>252</v>
      </c>
      <c r="G2" t="s">
        <v>248</v>
      </c>
      <c r="H2" s="11" t="s">
        <v>253</v>
      </c>
      <c r="I2" s="11" t="s">
        <v>254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424</v>
      </c>
      <c r="B2" t="s">
        <v>255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256</v>
      </c>
      <c r="E1" t="s">
        <v>126</v>
      </c>
      <c r="F1" t="s">
        <v>128</v>
      </c>
    </row>
    <row r="2" spans="1:6" ht="30" x14ac:dyDescent="0.25">
      <c r="A2" t="s">
        <v>257</v>
      </c>
      <c r="B2" t="s">
        <v>257</v>
      </c>
      <c r="C2" s="7" t="s">
        <v>136</v>
      </c>
      <c r="D2" s="3" t="s">
        <v>258</v>
      </c>
      <c r="E2" t="s">
        <v>259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256</v>
      </c>
      <c r="D1" t="s">
        <v>126</v>
      </c>
    </row>
    <row r="2" spans="1:4" x14ac:dyDescent="0.25">
      <c r="A2" t="s">
        <v>257</v>
      </c>
      <c r="B2" t="s">
        <v>257</v>
      </c>
      <c r="C2" s="3" t="s">
        <v>260</v>
      </c>
      <c r="D2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257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721</v>
      </c>
      <c r="C2" s="3" t="s">
        <v>261</v>
      </c>
      <c r="D2" t="s">
        <v>262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721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t="s">
        <v>721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693</v>
      </c>
      <c r="C2" s="3" t="s">
        <v>268</v>
      </c>
      <c r="D2" t="s">
        <v>267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C8" sqref="C8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693</v>
      </c>
      <c r="C2" s="3" t="s">
        <v>271</v>
      </c>
      <c r="D2" t="s">
        <v>267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C7" sqref="C7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s="5" t="s">
        <v>693</v>
      </c>
      <c r="C2" t="s">
        <v>272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364</v>
      </c>
      <c r="C2" s="3" t="s">
        <v>277</v>
      </c>
      <c r="D2" t="s">
        <v>273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364</v>
      </c>
      <c r="C2" s="3" t="s">
        <v>276</v>
      </c>
      <c r="D2" t="s">
        <v>273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275</v>
      </c>
      <c r="B2" t="s">
        <v>364</v>
      </c>
      <c r="C2" t="s">
        <v>278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286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5">
      <c r="A2" t="s">
        <v>283</v>
      </c>
      <c r="B2" t="s">
        <v>284</v>
      </c>
      <c r="C2" s="3" t="s">
        <v>205</v>
      </c>
      <c r="D2" t="s">
        <v>285</v>
      </c>
      <c r="F2" t="s">
        <v>308</v>
      </c>
      <c r="G2" t="s">
        <v>307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719</v>
      </c>
      <c r="O2" t="s">
        <v>302</v>
      </c>
      <c r="P2" t="s">
        <v>301</v>
      </c>
      <c r="Q2" t="s">
        <v>300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286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  <c r="R1" t="s">
        <v>312</v>
      </c>
      <c r="S1" t="s">
        <v>313</v>
      </c>
      <c r="T1" t="s">
        <v>314</v>
      </c>
      <c r="U1" t="s">
        <v>314</v>
      </c>
    </row>
    <row r="2" spans="1:21" x14ac:dyDescent="0.25">
      <c r="A2" t="s">
        <v>283</v>
      </c>
      <c r="B2" t="s">
        <v>284</v>
      </c>
      <c r="C2" s="3" t="s">
        <v>309</v>
      </c>
      <c r="D2" t="s">
        <v>285</v>
      </c>
      <c r="F2" t="s">
        <v>308</v>
      </c>
      <c r="G2" t="s">
        <v>310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719</v>
      </c>
      <c r="O2" t="s">
        <v>302</v>
      </c>
      <c r="P2" t="s">
        <v>301</v>
      </c>
      <c r="Q2" t="s">
        <v>311</v>
      </c>
      <c r="R2" s="5" t="s">
        <v>315</v>
      </c>
      <c r="S2" s="5" t="s">
        <v>316</v>
      </c>
      <c r="T2" s="5" t="s">
        <v>315</v>
      </c>
      <c r="U2" s="5" t="s">
        <v>317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318</v>
      </c>
      <c r="D1" t="s">
        <v>132</v>
      </c>
      <c r="E1" t="s">
        <v>319</v>
      </c>
      <c r="F1" t="s">
        <v>126</v>
      </c>
    </row>
    <row r="2" spans="1:6" ht="34.5" customHeight="1" x14ac:dyDescent="0.25">
      <c r="A2" t="s">
        <v>724</v>
      </c>
      <c r="B2" t="s">
        <v>320</v>
      </c>
      <c r="C2" s="6" t="s">
        <v>640</v>
      </c>
      <c r="D2" s="6" t="s">
        <v>639</v>
      </c>
      <c r="E2" s="3" t="s">
        <v>323</v>
      </c>
      <c r="F2" t="s">
        <v>324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318</v>
      </c>
      <c r="D1" t="s">
        <v>132</v>
      </c>
      <c r="E1" t="s">
        <v>319</v>
      </c>
      <c r="F1" t="s">
        <v>126</v>
      </c>
    </row>
    <row r="2" spans="1:6" ht="18.75" customHeight="1" x14ac:dyDescent="0.25">
      <c r="A2" t="s">
        <v>724</v>
      </c>
      <c r="B2" t="s">
        <v>320</v>
      </c>
      <c r="C2" s="6" t="s">
        <v>321</v>
      </c>
      <c r="D2" s="6" t="s">
        <v>322</v>
      </c>
      <c r="E2" s="3" t="s">
        <v>325</v>
      </c>
      <c r="F2" t="s">
        <v>324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tabSelected="1" workbookViewId="0">
      <selection activeCell="A2" sqref="A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724</v>
      </c>
      <c r="B2" t="s">
        <v>320</v>
      </c>
      <c r="C2" t="s">
        <v>643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326</v>
      </c>
    </row>
    <row r="2" spans="1:4" x14ac:dyDescent="0.25">
      <c r="A2" t="s">
        <v>327</v>
      </c>
      <c r="B2" s="5" t="s">
        <v>328</v>
      </c>
      <c r="C2" t="s">
        <v>329</v>
      </c>
      <c r="D2" t="s">
        <v>330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326</v>
      </c>
    </row>
    <row r="2" spans="1:4" x14ac:dyDescent="0.25">
      <c r="A2" t="s">
        <v>327</v>
      </c>
      <c r="B2" s="5" t="s">
        <v>328</v>
      </c>
      <c r="C2" t="s">
        <v>329</v>
      </c>
      <c r="D2" t="s">
        <v>330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327</v>
      </c>
      <c r="B2" s="5" t="s">
        <v>328</v>
      </c>
      <c r="C2" s="5" t="s">
        <v>331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H2" sqref="H2"/>
    </sheetView>
  </sheetViews>
  <sheetFormatPr defaultRowHeight="15" x14ac:dyDescent="0.25"/>
  <cols>
    <col min="7" max="7" width="15.85546875" bestFit="1" customWidth="1"/>
    <col min="8" max="8" width="14.140625" bestFit="1" customWidth="1"/>
    <col min="9" max="9" width="14.28515625" bestFit="1" customWidth="1"/>
    <col min="10" max="11" width="14.28515625" customWidth="1"/>
    <col min="12" max="12" width="10.42578125" bestFit="1" customWidth="1"/>
    <col min="13" max="13" width="10.5703125" bestFit="1" customWidth="1"/>
    <col min="14" max="14" width="16.42578125" bestFit="1" customWidth="1"/>
    <col min="15" max="15" width="11" bestFit="1" customWidth="1"/>
    <col min="16" max="16" width="20.5703125" bestFit="1" customWidth="1"/>
    <col min="17" max="17" width="17.28515625" bestFit="1" customWidth="1"/>
    <col min="18" max="18" width="13.28515625" bestFit="1" customWidth="1"/>
    <col min="21" max="21" width="21" bestFit="1" customWidth="1"/>
  </cols>
  <sheetData>
    <row r="1" spans="1:21" x14ac:dyDescent="0.25">
      <c r="A1" t="s">
        <v>696</v>
      </c>
      <c r="B1" t="s">
        <v>697</v>
      </c>
      <c r="C1" t="s">
        <v>699</v>
      </c>
      <c r="D1" t="s">
        <v>701</v>
      </c>
      <c r="E1" t="s">
        <v>703</v>
      </c>
      <c r="F1" t="s">
        <v>704</v>
      </c>
      <c r="G1" t="s">
        <v>332</v>
      </c>
      <c r="H1" t="s">
        <v>333</v>
      </c>
      <c r="I1" t="s">
        <v>334</v>
      </c>
      <c r="J1" t="s">
        <v>335</v>
      </c>
      <c r="K1" t="s">
        <v>336</v>
      </c>
      <c r="L1" t="s">
        <v>337</v>
      </c>
      <c r="M1" t="s">
        <v>338</v>
      </c>
      <c r="N1" t="s">
        <v>339</v>
      </c>
      <c r="O1" t="s">
        <v>340</v>
      </c>
      <c r="P1" t="s">
        <v>341</v>
      </c>
      <c r="Q1" t="s">
        <v>342</v>
      </c>
      <c r="R1" t="s">
        <v>343</v>
      </c>
      <c r="S1" t="s">
        <v>344</v>
      </c>
      <c r="T1" t="s">
        <v>345</v>
      </c>
      <c r="U1" t="s">
        <v>346</v>
      </c>
    </row>
    <row r="2" spans="1:21" x14ac:dyDescent="0.25">
      <c r="A2" t="s">
        <v>221</v>
      </c>
      <c r="B2" t="s">
        <v>698</v>
      </c>
      <c r="C2" t="s">
        <v>700</v>
      </c>
      <c r="D2" t="s">
        <v>702</v>
      </c>
      <c r="E2" t="s">
        <v>710</v>
      </c>
      <c r="F2" s="5" t="s">
        <v>705</v>
      </c>
      <c r="G2" t="s">
        <v>347</v>
      </c>
      <c r="H2" s="9" t="str">
        <f ca="1">TEXT(TODAY(), "DD/MM/YYYY")</f>
        <v>02/12/2025</v>
      </c>
      <c r="I2" s="12" t="s">
        <v>348</v>
      </c>
      <c r="J2" s="12" t="s">
        <v>349</v>
      </c>
      <c r="K2" s="12" t="s">
        <v>350</v>
      </c>
      <c r="L2" t="s">
        <v>351</v>
      </c>
      <c r="M2" t="s">
        <v>362</v>
      </c>
      <c r="N2" t="s">
        <v>98</v>
      </c>
      <c r="O2" t="s">
        <v>352</v>
      </c>
      <c r="P2" t="s">
        <v>353</v>
      </c>
      <c r="Q2" t="s">
        <v>354</v>
      </c>
      <c r="R2" t="s">
        <v>355</v>
      </c>
      <c r="S2" s="5" t="s">
        <v>317</v>
      </c>
      <c r="T2" s="5" t="s">
        <v>356</v>
      </c>
      <c r="U2" t="s">
        <v>357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64F40-426A-43BC-8A50-6EAFA8D7F160}">
  <dimension ref="A1:K2"/>
  <sheetViews>
    <sheetView workbookViewId="0">
      <selection activeCell="K9" sqref="K9"/>
    </sheetView>
  </sheetViews>
  <sheetFormatPr defaultRowHeight="15" x14ac:dyDescent="0.25"/>
  <cols>
    <col min="1" max="2" width="10.42578125" bestFit="1" customWidth="1"/>
  </cols>
  <sheetData>
    <row r="1" spans="1:11" x14ac:dyDescent="0.25">
      <c r="A1" t="s">
        <v>711</v>
      </c>
      <c r="B1" t="s">
        <v>712</v>
      </c>
      <c r="C1" t="s">
        <v>359</v>
      </c>
      <c r="D1" t="s">
        <v>299</v>
      </c>
      <c r="E1" t="s">
        <v>713</v>
      </c>
      <c r="F1" t="s">
        <v>714</v>
      </c>
      <c r="G1" t="s">
        <v>360</v>
      </c>
      <c r="H1" t="s">
        <v>299</v>
      </c>
      <c r="I1" t="s">
        <v>344</v>
      </c>
      <c r="J1" t="s">
        <v>345</v>
      </c>
      <c r="K1" t="s">
        <v>346</v>
      </c>
    </row>
    <row r="2" spans="1:11" x14ac:dyDescent="0.25">
      <c r="A2" s="6" t="s">
        <v>716</v>
      </c>
      <c r="B2" s="6" t="s">
        <v>717</v>
      </c>
      <c r="C2" s="12" t="s">
        <v>718</v>
      </c>
      <c r="D2" t="s">
        <v>351</v>
      </c>
      <c r="E2" t="s">
        <v>715</v>
      </c>
      <c r="F2" t="s">
        <v>715</v>
      </c>
      <c r="G2" t="s">
        <v>354</v>
      </c>
      <c r="H2" t="s">
        <v>361</v>
      </c>
      <c r="I2" s="5" t="s">
        <v>317</v>
      </c>
      <c r="J2" s="5" t="s">
        <v>356</v>
      </c>
      <c r="K2" t="s">
        <v>357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H2" sqref="H2"/>
    </sheetView>
  </sheetViews>
  <sheetFormatPr defaultRowHeight="15" x14ac:dyDescent="0.25"/>
  <cols>
    <col min="4" max="4" width="17.140625" customWidth="1"/>
    <col min="7" max="7" width="15.85546875" bestFit="1" customWidth="1"/>
    <col min="8" max="8" width="10.7109375" bestFit="1" customWidth="1"/>
    <col min="9" max="9" width="9.5703125" bestFit="1" customWidth="1"/>
    <col min="10" max="10" width="8.85546875" bestFit="1" customWidth="1"/>
    <col min="11" max="11" width="10.5703125" bestFit="1" customWidth="1"/>
    <col min="12" max="12" width="16.42578125" bestFit="1" customWidth="1"/>
    <col min="13" max="13" width="11" bestFit="1" customWidth="1"/>
    <col min="14" max="14" width="17.28515625" bestFit="1" customWidth="1"/>
    <col min="15" max="15" width="13.28515625" bestFit="1" customWidth="1"/>
    <col min="18" max="18" width="21" bestFit="1" customWidth="1"/>
  </cols>
  <sheetData>
    <row r="1" spans="1:18" x14ac:dyDescent="0.25">
      <c r="A1" t="s">
        <v>696</v>
      </c>
      <c r="B1" t="s">
        <v>697</v>
      </c>
      <c r="C1" t="s">
        <v>699</v>
      </c>
      <c r="D1" t="s">
        <v>701</v>
      </c>
      <c r="E1" t="s">
        <v>703</v>
      </c>
      <c r="F1" t="s">
        <v>704</v>
      </c>
      <c r="G1" t="s">
        <v>332</v>
      </c>
      <c r="H1" t="s">
        <v>358</v>
      </c>
      <c r="I1" t="s">
        <v>359</v>
      </c>
      <c r="J1" t="s">
        <v>337</v>
      </c>
      <c r="K1" t="s">
        <v>338</v>
      </c>
      <c r="L1" t="s">
        <v>339</v>
      </c>
      <c r="M1" t="s">
        <v>340</v>
      </c>
      <c r="N1" t="s">
        <v>360</v>
      </c>
      <c r="O1" t="s">
        <v>299</v>
      </c>
      <c r="P1" t="s">
        <v>344</v>
      </c>
      <c r="Q1" t="s">
        <v>345</v>
      </c>
      <c r="R1" t="s">
        <v>346</v>
      </c>
    </row>
    <row r="2" spans="1:18" x14ac:dyDescent="0.25">
      <c r="A2" t="s">
        <v>221</v>
      </c>
      <c r="B2" t="s">
        <v>698</v>
      </c>
      <c r="C2" t="s">
        <v>700</v>
      </c>
      <c r="D2" t="s">
        <v>707</v>
      </c>
      <c r="E2" t="s">
        <v>706</v>
      </c>
      <c r="F2" s="5" t="s">
        <v>708</v>
      </c>
      <c r="G2" t="s">
        <v>347</v>
      </c>
      <c r="H2" s="9" t="str">
        <f ca="1">TEXT(TODAY(), "DD/MM/YYYY")</f>
        <v>02/12/2025</v>
      </c>
      <c r="I2" s="12" t="s">
        <v>709</v>
      </c>
      <c r="J2" t="s">
        <v>351</v>
      </c>
      <c r="K2" t="s">
        <v>362</v>
      </c>
      <c r="L2" t="s">
        <v>98</v>
      </c>
      <c r="M2" t="s">
        <v>352</v>
      </c>
      <c r="N2" t="s">
        <v>354</v>
      </c>
      <c r="O2" t="s">
        <v>361</v>
      </c>
      <c r="P2" s="5" t="s">
        <v>317</v>
      </c>
      <c r="Q2" s="5" t="s">
        <v>356</v>
      </c>
      <c r="R2" t="s">
        <v>357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J24" sqref="J24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369</v>
      </c>
      <c r="D1" t="s">
        <v>370</v>
      </c>
      <c r="E1" t="s">
        <v>371</v>
      </c>
      <c r="F1" t="s">
        <v>372</v>
      </c>
      <c r="G1" t="s">
        <v>373</v>
      </c>
      <c r="H1" t="s">
        <v>374</v>
      </c>
      <c r="I1" t="s">
        <v>381</v>
      </c>
      <c r="J1" t="s">
        <v>383</v>
      </c>
      <c r="K1" t="s">
        <v>385</v>
      </c>
      <c r="L1" t="s">
        <v>387</v>
      </c>
      <c r="M1" t="s">
        <v>389</v>
      </c>
      <c r="N1" t="s">
        <v>391</v>
      </c>
      <c r="O1" t="s">
        <v>392</v>
      </c>
    </row>
    <row r="2" spans="1:16" x14ac:dyDescent="0.25">
      <c r="A2" t="s">
        <v>394</v>
      </c>
      <c r="B2" t="s">
        <v>368</v>
      </c>
      <c r="C2" t="s">
        <v>375</v>
      </c>
      <c r="D2" t="s">
        <v>376</v>
      </c>
      <c r="E2" t="s">
        <v>377</v>
      </c>
      <c r="F2" t="s">
        <v>378</v>
      </c>
      <c r="G2" t="s">
        <v>379</v>
      </c>
      <c r="H2" t="s">
        <v>380</v>
      </c>
      <c r="I2" t="s">
        <v>382</v>
      </c>
      <c r="J2" t="s">
        <v>384</v>
      </c>
      <c r="K2" t="s">
        <v>386</v>
      </c>
      <c r="L2" t="s">
        <v>388</v>
      </c>
      <c r="M2" t="s">
        <v>390</v>
      </c>
      <c r="N2" t="s">
        <v>395</v>
      </c>
      <c r="O2" t="s">
        <v>393</v>
      </c>
      <c r="P2" t="s">
        <v>393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369</v>
      </c>
      <c r="D1" t="s">
        <v>370</v>
      </c>
      <c r="E1" t="s">
        <v>371</v>
      </c>
      <c r="F1" t="s">
        <v>372</v>
      </c>
      <c r="G1" t="s">
        <v>373</v>
      </c>
      <c r="H1" t="s">
        <v>374</v>
      </c>
      <c r="I1" t="s">
        <v>381</v>
      </c>
      <c r="J1" t="s">
        <v>383</v>
      </c>
      <c r="K1" t="s">
        <v>385</v>
      </c>
      <c r="L1" t="s">
        <v>387</v>
      </c>
      <c r="M1" t="s">
        <v>389</v>
      </c>
      <c r="N1" t="s">
        <v>391</v>
      </c>
      <c r="O1" t="s">
        <v>392</v>
      </c>
    </row>
    <row r="2" spans="1:16" x14ac:dyDescent="0.25">
      <c r="A2" t="s">
        <v>394</v>
      </c>
      <c r="B2" t="s">
        <v>368</v>
      </c>
      <c r="C2" t="s">
        <v>375</v>
      </c>
      <c r="D2" t="s">
        <v>376</v>
      </c>
      <c r="E2" t="s">
        <v>396</v>
      </c>
      <c r="F2" t="s">
        <v>378</v>
      </c>
      <c r="G2" t="s">
        <v>379</v>
      </c>
      <c r="H2" t="s">
        <v>397</v>
      </c>
      <c r="I2" t="s">
        <v>382</v>
      </c>
      <c r="J2" t="s">
        <v>384</v>
      </c>
      <c r="K2" t="s">
        <v>398</v>
      </c>
      <c r="L2" t="s">
        <v>388</v>
      </c>
      <c r="M2" t="s">
        <v>390</v>
      </c>
      <c r="N2" t="s">
        <v>399</v>
      </c>
      <c r="O2" t="s">
        <v>393</v>
      </c>
      <c r="P2" t="s">
        <v>393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400</v>
      </c>
      <c r="B1" t="s">
        <v>401</v>
      </c>
      <c r="C1" t="s">
        <v>402</v>
      </c>
      <c r="D1" t="s">
        <v>403</v>
      </c>
      <c r="E1" t="s">
        <v>404</v>
      </c>
      <c r="F1" t="s">
        <v>405</v>
      </c>
      <c r="G1" t="s">
        <v>408</v>
      </c>
      <c r="H1" t="s">
        <v>409</v>
      </c>
      <c r="I1" t="s">
        <v>410</v>
      </c>
      <c r="J1" t="s">
        <v>411</v>
      </c>
      <c r="K1" t="s">
        <v>412</v>
      </c>
      <c r="L1" t="s">
        <v>418</v>
      </c>
    </row>
    <row r="2" spans="1:12" x14ac:dyDescent="0.25">
      <c r="A2" s="6" t="s">
        <v>416</v>
      </c>
      <c r="B2" s="7" t="str">
        <f ca="1">TEXT(TODAY(), "DD/MM/YYYY")</f>
        <v>02/12/2025</v>
      </c>
      <c r="C2" t="s">
        <v>406</v>
      </c>
      <c r="D2" t="s">
        <v>407</v>
      </c>
      <c r="E2" t="s">
        <v>303</v>
      </c>
      <c r="F2" t="s">
        <v>116</v>
      </c>
      <c r="H2" t="s">
        <v>413</v>
      </c>
      <c r="I2" t="s">
        <v>414</v>
      </c>
      <c r="J2" t="s">
        <v>415</v>
      </c>
      <c r="K2" t="s">
        <v>417</v>
      </c>
      <c r="L2" t="s">
        <v>419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5">
      <c r="A2" t="s">
        <v>283</v>
      </c>
      <c r="B2" t="s">
        <v>284</v>
      </c>
      <c r="C2" s="3" t="s">
        <v>255</v>
      </c>
      <c r="D2" t="s">
        <v>285</v>
      </c>
      <c r="F2" t="s">
        <v>308</v>
      </c>
      <c r="G2" t="s">
        <v>307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303</v>
      </c>
      <c r="O2" t="s">
        <v>302</v>
      </c>
      <c r="P2" t="s">
        <v>301</v>
      </c>
      <c r="Q2" t="s">
        <v>300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427</v>
      </c>
      <c r="B2" s="3" t="s">
        <v>428</v>
      </c>
      <c r="C2" s="3" t="s">
        <v>429</v>
      </c>
      <c r="D2" s="5" t="s">
        <v>430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29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20.28515625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431</v>
      </c>
      <c r="B1" t="s">
        <v>432</v>
      </c>
      <c r="C1" t="s">
        <v>433</v>
      </c>
      <c r="D1" t="s">
        <v>434</v>
      </c>
      <c r="E1" t="s">
        <v>435</v>
      </c>
      <c r="F1" t="s">
        <v>436</v>
      </c>
      <c r="G1" t="s">
        <v>437</v>
      </c>
      <c r="H1" t="s">
        <v>438</v>
      </c>
      <c r="I1" t="s">
        <v>439</v>
      </c>
      <c r="J1" t="s">
        <v>440</v>
      </c>
      <c r="K1" t="s">
        <v>441</v>
      </c>
      <c r="L1" t="s">
        <v>442</v>
      </c>
      <c r="M1" t="s">
        <v>443</v>
      </c>
      <c r="N1" t="s">
        <v>444</v>
      </c>
      <c r="O1" t="s">
        <v>445</v>
      </c>
    </row>
    <row r="2" spans="1:15" x14ac:dyDescent="0.25">
      <c r="A2" t="s">
        <v>446</v>
      </c>
      <c r="B2" t="s">
        <v>447</v>
      </c>
      <c r="C2" t="s">
        <v>448</v>
      </c>
      <c r="D2" t="s">
        <v>449</v>
      </c>
      <c r="E2" s="6" t="s">
        <v>450</v>
      </c>
      <c r="F2" t="str">
        <f>LOWER(G2)</f>
        <v>primary</v>
      </c>
      <c r="G2" t="s">
        <v>210</v>
      </c>
      <c r="H2" t="str">
        <f>LOWER(I2)</f>
        <v>internal</v>
      </c>
      <c r="I2" t="s">
        <v>451</v>
      </c>
      <c r="J2" t="str">
        <f>LOWER(K2)</f>
        <v>left</v>
      </c>
      <c r="K2" t="s">
        <v>102</v>
      </c>
      <c r="L2" t="s">
        <v>452</v>
      </c>
      <c r="M2" t="str">
        <f>LOWER(N2)</f>
        <v>implanted</v>
      </c>
      <c r="N2" t="s">
        <v>453</v>
      </c>
      <c r="O2" s="5" t="s">
        <v>454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431</v>
      </c>
      <c r="B1" t="s">
        <v>432</v>
      </c>
      <c r="C1" t="s">
        <v>433</v>
      </c>
      <c r="D1" t="s">
        <v>434</v>
      </c>
      <c r="E1" t="s">
        <v>455</v>
      </c>
      <c r="F1" t="s">
        <v>435</v>
      </c>
      <c r="G1" t="s">
        <v>436</v>
      </c>
      <c r="H1" t="s">
        <v>437</v>
      </c>
      <c r="I1" t="s">
        <v>438</v>
      </c>
      <c r="J1" t="s">
        <v>439</v>
      </c>
      <c r="K1" t="s">
        <v>440</v>
      </c>
      <c r="L1" t="s">
        <v>441</v>
      </c>
      <c r="M1" t="s">
        <v>442</v>
      </c>
      <c r="N1" t="s">
        <v>443</v>
      </c>
      <c r="O1" t="s">
        <v>444</v>
      </c>
      <c r="P1" t="s">
        <v>456</v>
      </c>
    </row>
    <row r="2" spans="1:16" x14ac:dyDescent="0.25">
      <c r="A2" t="s">
        <v>446</v>
      </c>
      <c r="B2" t="s">
        <v>457</v>
      </c>
      <c r="C2" t="s">
        <v>448</v>
      </c>
      <c r="D2" t="s">
        <v>458</v>
      </c>
      <c r="E2" t="s">
        <v>459</v>
      </c>
      <c r="F2" s="6" t="s">
        <v>460</v>
      </c>
      <c r="G2" t="str">
        <f>SUBSTITUTE(LOWER(H2)," ","")</f>
        <v>firststage</v>
      </c>
      <c r="H2" t="s">
        <v>461</v>
      </c>
      <c r="I2" t="str">
        <f>LOWER(J2)</f>
        <v>external</v>
      </c>
      <c r="J2" t="s">
        <v>462</v>
      </c>
      <c r="K2" t="str">
        <f>LOWER(L2)</f>
        <v>right</v>
      </c>
      <c r="L2" t="s">
        <v>184</v>
      </c>
      <c r="M2" t="s">
        <v>463</v>
      </c>
      <c r="N2" t="str">
        <f>LOWER(O2)</f>
        <v>requested</v>
      </c>
      <c r="O2" t="s">
        <v>205</v>
      </c>
      <c r="P2" t="s">
        <v>464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E17" sqref="E17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465</v>
      </c>
      <c r="B1" t="s">
        <v>466</v>
      </c>
      <c r="C1" t="s">
        <v>467</v>
      </c>
      <c r="D1" t="s">
        <v>468</v>
      </c>
      <c r="E1" t="s">
        <v>469</v>
      </c>
      <c r="F1" t="s">
        <v>470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</row>
    <row r="2" spans="1:11" x14ac:dyDescent="0.25">
      <c r="A2" t="s">
        <v>476</v>
      </c>
      <c r="B2" t="s">
        <v>477</v>
      </c>
      <c r="C2" t="s">
        <v>478</v>
      </c>
      <c r="D2" t="s">
        <v>479</v>
      </c>
      <c r="E2" t="s">
        <v>480</v>
      </c>
      <c r="F2" t="s">
        <v>481</v>
      </c>
      <c r="G2" t="s">
        <v>482</v>
      </c>
      <c r="K2" t="s">
        <v>483</v>
      </c>
    </row>
    <row r="3" spans="1:11" x14ac:dyDescent="0.25">
      <c r="A3" t="s">
        <v>484</v>
      </c>
      <c r="B3" t="s">
        <v>485</v>
      </c>
      <c r="C3" t="s">
        <v>486</v>
      </c>
      <c r="D3" t="s">
        <v>100</v>
      </c>
      <c r="K3" t="s">
        <v>487</v>
      </c>
    </row>
    <row r="4" spans="1:11" x14ac:dyDescent="0.25">
      <c r="A4" t="s">
        <v>488</v>
      </c>
      <c r="B4" t="s">
        <v>489</v>
      </c>
      <c r="C4" t="s">
        <v>490</v>
      </c>
      <c r="D4" t="s">
        <v>491</v>
      </c>
      <c r="E4" t="s">
        <v>492</v>
      </c>
      <c r="K4" t="s">
        <v>493</v>
      </c>
    </row>
    <row r="5" spans="1:11" x14ac:dyDescent="0.25">
      <c r="A5" t="s">
        <v>494</v>
      </c>
      <c r="B5" t="s">
        <v>495</v>
      </c>
      <c r="C5" s="3" t="s">
        <v>496</v>
      </c>
      <c r="D5" t="s">
        <v>497</v>
      </c>
      <c r="E5" t="s">
        <v>498</v>
      </c>
      <c r="F5" t="s">
        <v>495</v>
      </c>
      <c r="G5" t="s">
        <v>496</v>
      </c>
      <c r="H5" t="s">
        <v>497</v>
      </c>
      <c r="I5" t="s">
        <v>100</v>
      </c>
      <c r="J5" t="s">
        <v>100</v>
      </c>
      <c r="K5" t="s">
        <v>499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465</v>
      </c>
      <c r="B1" t="s">
        <v>466</v>
      </c>
      <c r="C1" t="s">
        <v>467</v>
      </c>
      <c r="D1" t="s">
        <v>468</v>
      </c>
      <c r="E1" t="s">
        <v>469</v>
      </c>
      <c r="F1" t="s">
        <v>470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500</v>
      </c>
      <c r="M1" t="s">
        <v>501</v>
      </c>
      <c r="N1" t="s">
        <v>122</v>
      </c>
    </row>
    <row r="2" spans="1:14" x14ac:dyDescent="0.25">
      <c r="A2" t="s">
        <v>476</v>
      </c>
      <c r="B2" t="s">
        <v>502</v>
      </c>
      <c r="C2" t="s">
        <v>503</v>
      </c>
      <c r="D2" t="s">
        <v>504</v>
      </c>
      <c r="E2" t="s">
        <v>505</v>
      </c>
      <c r="F2" t="s">
        <v>506</v>
      </c>
      <c r="G2" t="s">
        <v>507</v>
      </c>
      <c r="K2" t="s">
        <v>508</v>
      </c>
      <c r="L2" s="5" t="s">
        <v>509</v>
      </c>
      <c r="M2" s="5" t="s">
        <v>509</v>
      </c>
      <c r="N2" t="s">
        <v>510</v>
      </c>
    </row>
    <row r="3" spans="1:14" x14ac:dyDescent="0.25">
      <c r="A3" t="s">
        <v>484</v>
      </c>
      <c r="B3" t="s">
        <v>511</v>
      </c>
      <c r="C3" t="s">
        <v>512</v>
      </c>
      <c r="D3" t="s">
        <v>60</v>
      </c>
      <c r="K3" t="s">
        <v>513</v>
      </c>
      <c r="L3" s="5" t="s">
        <v>509</v>
      </c>
      <c r="M3" s="5" t="s">
        <v>509</v>
      </c>
      <c r="N3" t="s">
        <v>510</v>
      </c>
    </row>
    <row r="4" spans="1:14" x14ac:dyDescent="0.25">
      <c r="A4" t="s">
        <v>488</v>
      </c>
      <c r="B4" t="s">
        <v>514</v>
      </c>
      <c r="C4" t="s">
        <v>515</v>
      </c>
      <c r="D4" t="s">
        <v>516</v>
      </c>
      <c r="E4" t="s">
        <v>517</v>
      </c>
      <c r="K4" t="s">
        <v>518</v>
      </c>
      <c r="L4" s="5" t="s">
        <v>509</v>
      </c>
      <c r="M4" s="5" t="s">
        <v>509</v>
      </c>
      <c r="N4" t="s">
        <v>510</v>
      </c>
    </row>
    <row r="5" spans="1:14" x14ac:dyDescent="0.25">
      <c r="A5" t="s">
        <v>494</v>
      </c>
      <c r="B5" s="3" t="s">
        <v>496</v>
      </c>
      <c r="C5" t="s">
        <v>497</v>
      </c>
      <c r="D5" t="s">
        <v>498</v>
      </c>
      <c r="E5" t="s">
        <v>495</v>
      </c>
      <c r="F5" t="s">
        <v>496</v>
      </c>
      <c r="G5" t="s">
        <v>497</v>
      </c>
      <c r="H5" t="s">
        <v>495</v>
      </c>
      <c r="I5" t="s">
        <v>60</v>
      </c>
      <c r="J5" t="s">
        <v>60</v>
      </c>
      <c r="K5" t="s">
        <v>519</v>
      </c>
      <c r="L5" s="5" t="s">
        <v>509</v>
      </c>
      <c r="M5" s="5" t="s">
        <v>509</v>
      </c>
      <c r="N5" t="s">
        <v>510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520</v>
      </c>
      <c r="C1" t="s">
        <v>521</v>
      </c>
      <c r="D1" t="s">
        <v>522</v>
      </c>
      <c r="E1" t="s">
        <v>523</v>
      </c>
      <c r="F1" t="s">
        <v>524</v>
      </c>
      <c r="G1" t="s">
        <v>525</v>
      </c>
      <c r="H1" t="s">
        <v>526</v>
      </c>
      <c r="I1" t="s">
        <v>527</v>
      </c>
      <c r="J1" t="s">
        <v>528</v>
      </c>
      <c r="K1" t="s">
        <v>529</v>
      </c>
      <c r="L1" t="s">
        <v>530</v>
      </c>
      <c r="M1" t="s">
        <v>531</v>
      </c>
      <c r="N1" t="s">
        <v>532</v>
      </c>
      <c r="O1" t="s">
        <v>533</v>
      </c>
      <c r="P1" t="s">
        <v>534</v>
      </c>
      <c r="Q1" t="s">
        <v>535</v>
      </c>
      <c r="R1" t="s">
        <v>536</v>
      </c>
      <c r="S1" t="s">
        <v>537</v>
      </c>
      <c r="T1" t="s">
        <v>538</v>
      </c>
      <c r="U1" t="s">
        <v>539</v>
      </c>
    </row>
    <row r="2" spans="1:21" x14ac:dyDescent="0.25">
      <c r="A2" t="s">
        <v>540</v>
      </c>
      <c r="B2" t="s">
        <v>541</v>
      </c>
      <c r="C2" t="s">
        <v>542</v>
      </c>
      <c r="D2" t="s">
        <v>543</v>
      </c>
      <c r="E2" t="s">
        <v>544</v>
      </c>
      <c r="F2" t="s">
        <v>545</v>
      </c>
      <c r="G2" t="s">
        <v>546</v>
      </c>
      <c r="H2" t="s">
        <v>547</v>
      </c>
      <c r="I2" t="s">
        <v>548</v>
      </c>
      <c r="J2" t="s">
        <v>549</v>
      </c>
      <c r="K2" t="s">
        <v>550</v>
      </c>
      <c r="L2" t="s">
        <v>551</v>
      </c>
      <c r="M2" t="s">
        <v>552</v>
      </c>
      <c r="N2" t="s">
        <v>553</v>
      </c>
      <c r="P2" t="s">
        <v>554</v>
      </c>
      <c r="Q2" t="s">
        <v>555</v>
      </c>
      <c r="R2" t="s">
        <v>556</v>
      </c>
      <c r="S2" t="s">
        <v>557</v>
      </c>
      <c r="U2" t="s">
        <v>540</v>
      </c>
    </row>
    <row r="3" spans="1:21" x14ac:dyDescent="0.25">
      <c r="A3" t="s">
        <v>558</v>
      </c>
      <c r="B3" t="s">
        <v>559</v>
      </c>
      <c r="C3" t="s">
        <v>560</v>
      </c>
      <c r="D3" t="s">
        <v>315</v>
      </c>
      <c r="O3" t="s">
        <v>561</v>
      </c>
      <c r="T3" t="s">
        <v>562</v>
      </c>
      <c r="U3" t="s">
        <v>563</v>
      </c>
    </row>
    <row r="4" spans="1:21" x14ac:dyDescent="0.25">
      <c r="A4" t="s">
        <v>564</v>
      </c>
      <c r="O4" t="s">
        <v>565</v>
      </c>
      <c r="T4" t="s">
        <v>566</v>
      </c>
      <c r="U4" t="s">
        <v>567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520</v>
      </c>
      <c r="C1" t="s">
        <v>521</v>
      </c>
      <c r="D1" t="s">
        <v>522</v>
      </c>
      <c r="E1" t="s">
        <v>523</v>
      </c>
      <c r="F1" t="s">
        <v>524</v>
      </c>
      <c r="G1" t="s">
        <v>525</v>
      </c>
      <c r="H1" t="s">
        <v>526</v>
      </c>
      <c r="I1" t="s">
        <v>527</v>
      </c>
      <c r="J1" t="s">
        <v>528</v>
      </c>
      <c r="K1" t="s">
        <v>529</v>
      </c>
      <c r="L1" t="s">
        <v>530</v>
      </c>
      <c r="M1" t="s">
        <v>531</v>
      </c>
      <c r="N1" t="s">
        <v>532</v>
      </c>
      <c r="O1" t="s">
        <v>533</v>
      </c>
      <c r="P1" t="s">
        <v>534</v>
      </c>
      <c r="Q1" t="s">
        <v>535</v>
      </c>
      <c r="R1" t="s">
        <v>536</v>
      </c>
      <c r="S1" t="s">
        <v>537</v>
      </c>
      <c r="T1" t="s">
        <v>539</v>
      </c>
      <c r="U1" t="s">
        <v>132</v>
      </c>
      <c r="V1" t="s">
        <v>568</v>
      </c>
      <c r="W1" t="s">
        <v>569</v>
      </c>
      <c r="X1" t="s">
        <v>122</v>
      </c>
    </row>
    <row r="2" spans="1:24" x14ac:dyDescent="0.25">
      <c r="A2" t="s">
        <v>540</v>
      </c>
      <c r="B2" t="s">
        <v>545</v>
      </c>
      <c r="C2" t="s">
        <v>546</v>
      </c>
      <c r="D2" t="s">
        <v>570</v>
      </c>
      <c r="E2" t="s">
        <v>571</v>
      </c>
      <c r="F2" t="s">
        <v>541</v>
      </c>
      <c r="G2" t="s">
        <v>542</v>
      </c>
      <c r="H2" t="s">
        <v>572</v>
      </c>
      <c r="I2" t="s">
        <v>551</v>
      </c>
      <c r="J2" t="s">
        <v>552</v>
      </c>
      <c r="K2" t="s">
        <v>573</v>
      </c>
      <c r="L2" t="s">
        <v>548</v>
      </c>
      <c r="M2" t="s">
        <v>549</v>
      </c>
      <c r="N2" t="s">
        <v>574</v>
      </c>
      <c r="P2" t="s">
        <v>575</v>
      </c>
      <c r="Q2" t="s">
        <v>576</v>
      </c>
      <c r="R2" t="s">
        <v>577</v>
      </c>
      <c r="S2" t="s">
        <v>578</v>
      </c>
      <c r="T2" t="s">
        <v>540</v>
      </c>
      <c r="U2" s="5" t="s">
        <v>579</v>
      </c>
      <c r="V2" s="5" t="s">
        <v>579</v>
      </c>
      <c r="W2" s="5" t="s">
        <v>579</v>
      </c>
      <c r="X2" t="s">
        <v>580</v>
      </c>
    </row>
    <row r="3" spans="1:24" x14ac:dyDescent="0.25">
      <c r="A3" t="s">
        <v>558</v>
      </c>
      <c r="B3" s="5" t="s">
        <v>581</v>
      </c>
      <c r="C3" s="5" t="s">
        <v>582</v>
      </c>
      <c r="D3" s="5" t="s">
        <v>583</v>
      </c>
      <c r="E3" s="5" t="s">
        <v>186</v>
      </c>
      <c r="F3" s="5" t="s">
        <v>584</v>
      </c>
      <c r="G3" s="5"/>
      <c r="H3" s="5"/>
      <c r="I3" s="5"/>
      <c r="J3" s="5"/>
      <c r="K3" s="5"/>
      <c r="L3" s="5"/>
      <c r="M3" s="5"/>
      <c r="N3" s="5"/>
      <c r="O3" t="s">
        <v>585</v>
      </c>
      <c r="T3" t="s">
        <v>563</v>
      </c>
      <c r="V3" s="5" t="s">
        <v>579</v>
      </c>
      <c r="W3" s="5" t="s">
        <v>579</v>
      </c>
      <c r="X3" t="s">
        <v>580</v>
      </c>
    </row>
    <row r="4" spans="1:24" x14ac:dyDescent="0.25">
      <c r="A4" t="s">
        <v>564</v>
      </c>
      <c r="B4" s="5" t="s">
        <v>586</v>
      </c>
      <c r="C4" s="5" t="s">
        <v>587</v>
      </c>
      <c r="O4" t="s">
        <v>588</v>
      </c>
      <c r="T4" t="s">
        <v>567</v>
      </c>
      <c r="V4" s="5" t="s">
        <v>589</v>
      </c>
      <c r="W4" s="5" t="s">
        <v>589</v>
      </c>
      <c r="X4" t="s">
        <v>580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F23" sqref="F23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590</v>
      </c>
      <c r="B1" t="s">
        <v>591</v>
      </c>
      <c r="C1" t="s">
        <v>592</v>
      </c>
      <c r="D1" t="s">
        <v>593</v>
      </c>
      <c r="E1" t="s">
        <v>594</v>
      </c>
      <c r="F1" t="s">
        <v>595</v>
      </c>
      <c r="G1" t="s">
        <v>596</v>
      </c>
      <c r="H1" t="s">
        <v>597</v>
      </c>
      <c r="I1" t="s">
        <v>598</v>
      </c>
      <c r="J1" t="s">
        <v>599</v>
      </c>
      <c r="K1" t="s">
        <v>600</v>
      </c>
      <c r="L1" t="s">
        <v>601</v>
      </c>
      <c r="M1" t="s">
        <v>602</v>
      </c>
      <c r="N1" t="s">
        <v>603</v>
      </c>
      <c r="O1" t="s">
        <v>604</v>
      </c>
      <c r="P1" t="s">
        <v>605</v>
      </c>
      <c r="Q1" t="s">
        <v>606</v>
      </c>
    </row>
    <row r="2" spans="1:17" x14ac:dyDescent="0.25">
      <c r="A2" t="s">
        <v>607</v>
      </c>
      <c r="B2" t="s">
        <v>608</v>
      </c>
      <c r="C2" t="s">
        <v>609</v>
      </c>
      <c r="D2" s="6" t="s">
        <v>610</v>
      </c>
      <c r="E2" s="6" t="s">
        <v>611</v>
      </c>
      <c r="F2" t="s">
        <v>612</v>
      </c>
      <c r="G2" t="s">
        <v>613</v>
      </c>
      <c r="H2" t="s">
        <v>614</v>
      </c>
      <c r="I2" t="s">
        <v>615</v>
      </c>
      <c r="J2" t="s">
        <v>616</v>
      </c>
      <c r="K2" t="s">
        <v>617</v>
      </c>
      <c r="L2" t="s">
        <v>618</v>
      </c>
      <c r="M2" t="s">
        <v>619</v>
      </c>
      <c r="N2" t="s">
        <v>620</v>
      </c>
      <c r="O2" t="s">
        <v>621</v>
      </c>
      <c r="P2" t="s">
        <v>622</v>
      </c>
      <c r="Q2" s="10" t="s">
        <v>623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2" sqref="C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590</v>
      </c>
      <c r="B1" t="s">
        <v>591</v>
      </c>
      <c r="C1" t="s">
        <v>624</v>
      </c>
      <c r="D1" t="s">
        <v>592</v>
      </c>
      <c r="E1" t="s">
        <v>593</v>
      </c>
      <c r="F1" t="s">
        <v>594</v>
      </c>
      <c r="G1" t="s">
        <v>625</v>
      </c>
      <c r="H1" t="s">
        <v>595</v>
      </c>
      <c r="I1" t="s">
        <v>596</v>
      </c>
      <c r="J1" t="s">
        <v>597</v>
      </c>
      <c r="K1" t="s">
        <v>598</v>
      </c>
      <c r="L1" t="s">
        <v>599</v>
      </c>
      <c r="M1" t="s">
        <v>600</v>
      </c>
      <c r="N1" t="s">
        <v>601</v>
      </c>
      <c r="O1" t="s">
        <v>602</v>
      </c>
      <c r="P1" t="s">
        <v>603</v>
      </c>
      <c r="Q1" t="s">
        <v>604</v>
      </c>
      <c r="R1" t="s">
        <v>605</v>
      </c>
      <c r="S1" t="s">
        <v>606</v>
      </c>
    </row>
    <row r="2" spans="1:19" x14ac:dyDescent="0.25">
      <c r="A2" t="s">
        <v>607</v>
      </c>
      <c r="B2" t="s">
        <v>608</v>
      </c>
      <c r="C2" t="s">
        <v>626</v>
      </c>
      <c r="D2" t="str">
        <f>LOWER(C2)</f>
        <v>withdrawn</v>
      </c>
      <c r="E2" s="6" t="s">
        <v>610</v>
      </c>
      <c r="F2" s="6" t="s">
        <v>421</v>
      </c>
      <c r="G2" s="6" t="s">
        <v>421</v>
      </c>
      <c r="H2" t="s">
        <v>612</v>
      </c>
      <c r="I2" t="s">
        <v>613</v>
      </c>
      <c r="J2" t="s">
        <v>614</v>
      </c>
      <c r="K2" t="s">
        <v>627</v>
      </c>
      <c r="L2" t="s">
        <v>628</v>
      </c>
      <c r="M2" t="s">
        <v>629</v>
      </c>
      <c r="N2" t="s">
        <v>630</v>
      </c>
      <c r="O2" t="s">
        <v>631</v>
      </c>
      <c r="P2" t="s">
        <v>632</v>
      </c>
      <c r="Q2" t="s">
        <v>633</v>
      </c>
      <c r="R2" t="s">
        <v>634</v>
      </c>
      <c r="S2" s="10" t="s">
        <v>635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F356E-F54A-4994-9714-D3DDDBAEB896}">
  <dimension ref="A1:B26"/>
  <sheetViews>
    <sheetView topLeftCell="A9" workbookViewId="0">
      <selection activeCell="A26" sqref="A26"/>
    </sheetView>
  </sheetViews>
  <sheetFormatPr defaultRowHeight="15" x14ac:dyDescent="0.25"/>
  <cols>
    <col min="1" max="1" width="22.140625" customWidth="1"/>
    <col min="2" max="2" width="18.85546875" customWidth="1"/>
  </cols>
  <sheetData>
    <row r="1" spans="1:2" x14ac:dyDescent="0.25">
      <c r="A1" t="s">
        <v>644</v>
      </c>
      <c r="B1" t="s">
        <v>645</v>
      </c>
    </row>
    <row r="2" spans="1:2" x14ac:dyDescent="0.25">
      <c r="A2" s="3" t="s">
        <v>646</v>
      </c>
      <c r="B2" s="14" t="s">
        <v>668</v>
      </c>
    </row>
    <row r="3" spans="1:2" ht="30" x14ac:dyDescent="0.25">
      <c r="A3" s="3" t="s">
        <v>647</v>
      </c>
      <c r="B3" s="14" t="s">
        <v>581</v>
      </c>
    </row>
    <row r="4" spans="1:2" ht="30" x14ac:dyDescent="0.25">
      <c r="A4" s="3" t="s">
        <v>648</v>
      </c>
      <c r="B4" s="14" t="s">
        <v>669</v>
      </c>
    </row>
    <row r="5" spans="1:2" ht="30" x14ac:dyDescent="0.25">
      <c r="A5" s="3" t="s">
        <v>649</v>
      </c>
      <c r="B5" s="14" t="s">
        <v>670</v>
      </c>
    </row>
    <row r="6" spans="1:2" ht="30" x14ac:dyDescent="0.25">
      <c r="A6" s="3" t="s">
        <v>650</v>
      </c>
      <c r="B6" s="14" t="s">
        <v>82</v>
      </c>
    </row>
    <row r="7" spans="1:2" x14ac:dyDescent="0.25">
      <c r="A7" s="3" t="s">
        <v>651</v>
      </c>
      <c r="B7" s="14" t="s">
        <v>671</v>
      </c>
    </row>
    <row r="8" spans="1:2" x14ac:dyDescent="0.25">
      <c r="A8" s="3" t="s">
        <v>652</v>
      </c>
      <c r="B8" s="14" t="s">
        <v>672</v>
      </c>
    </row>
    <row r="9" spans="1:2" x14ac:dyDescent="0.25">
      <c r="A9" s="3" t="s">
        <v>653</v>
      </c>
      <c r="B9" s="14" t="s">
        <v>673</v>
      </c>
    </row>
    <row r="10" spans="1:2" x14ac:dyDescent="0.25">
      <c r="A10" s="3" t="s">
        <v>722</v>
      </c>
      <c r="B10" s="14" t="s">
        <v>674</v>
      </c>
    </row>
    <row r="11" spans="1:2" x14ac:dyDescent="0.25">
      <c r="A11" s="3" t="s">
        <v>654</v>
      </c>
      <c r="B11" s="14" t="s">
        <v>675</v>
      </c>
    </row>
    <row r="12" spans="1:2" x14ac:dyDescent="0.25">
      <c r="A12" s="3" t="s">
        <v>688</v>
      </c>
      <c r="B12" s="14" t="s">
        <v>676</v>
      </c>
    </row>
    <row r="13" spans="1:2" x14ac:dyDescent="0.25">
      <c r="A13" s="3" t="s">
        <v>655</v>
      </c>
      <c r="B13" s="14" t="s">
        <v>587</v>
      </c>
    </row>
    <row r="14" spans="1:2" x14ac:dyDescent="0.25">
      <c r="A14" s="3" t="s">
        <v>656</v>
      </c>
      <c r="B14" s="14" t="s">
        <v>677</v>
      </c>
    </row>
    <row r="15" spans="1:2" ht="30" x14ac:dyDescent="0.25">
      <c r="A15" s="3" t="s">
        <v>657</v>
      </c>
      <c r="B15" s="14" t="s">
        <v>678</v>
      </c>
    </row>
    <row r="16" spans="1:2" ht="30" x14ac:dyDescent="0.25">
      <c r="A16" s="3" t="s">
        <v>658</v>
      </c>
      <c r="B16" s="14" t="s">
        <v>670</v>
      </c>
    </row>
    <row r="17" spans="1:2" x14ac:dyDescent="0.25">
      <c r="A17" s="3" t="s">
        <v>659</v>
      </c>
      <c r="B17" s="14" t="s">
        <v>679</v>
      </c>
    </row>
    <row r="18" spans="1:2" x14ac:dyDescent="0.25">
      <c r="A18" s="3" t="s">
        <v>660</v>
      </c>
      <c r="B18" s="14" t="s">
        <v>680</v>
      </c>
    </row>
    <row r="19" spans="1:2" ht="30" x14ac:dyDescent="0.25">
      <c r="A19" s="3" t="s">
        <v>661</v>
      </c>
      <c r="B19" s="14" t="s">
        <v>681</v>
      </c>
    </row>
    <row r="20" spans="1:2" ht="30" x14ac:dyDescent="0.25">
      <c r="A20" s="3" t="s">
        <v>662</v>
      </c>
      <c r="B20" s="14" t="s">
        <v>682</v>
      </c>
    </row>
    <row r="21" spans="1:2" ht="30" x14ac:dyDescent="0.25">
      <c r="A21" s="3" t="s">
        <v>663</v>
      </c>
      <c r="B21" s="14" t="s">
        <v>683</v>
      </c>
    </row>
    <row r="22" spans="1:2" ht="30" x14ac:dyDescent="0.25">
      <c r="A22" s="3" t="s">
        <v>664</v>
      </c>
      <c r="B22" s="14" t="s">
        <v>684</v>
      </c>
    </row>
    <row r="23" spans="1:2" x14ac:dyDescent="0.25">
      <c r="A23" s="3" t="s">
        <v>665</v>
      </c>
      <c r="B23" s="14" t="s">
        <v>315</v>
      </c>
    </row>
    <row r="24" spans="1:2" ht="30" x14ac:dyDescent="0.25">
      <c r="A24" s="3" t="s">
        <v>666</v>
      </c>
      <c r="B24" s="14" t="s">
        <v>685</v>
      </c>
    </row>
    <row r="25" spans="1:2" ht="30" x14ac:dyDescent="0.25">
      <c r="A25" s="3" t="s">
        <v>667</v>
      </c>
      <c r="B25" s="14" t="s">
        <v>686</v>
      </c>
    </row>
    <row r="26" spans="1:2" x14ac:dyDescent="0.25">
      <c r="A26" s="17" t="s">
        <v>723</v>
      </c>
      <c r="B26" s="14" t="s">
        <v>687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AddWorklist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2025-12-02T05:40:32Z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18d40494-d486-4b41-bb45-29c36fe0a186</vt:lpwstr>
  </property>
</Properties>
</file>