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1F0575D3-1E3C-4F9B-A3AF-139E934B1A4B}" xr6:coauthVersionLast="47" xr6:coauthVersionMax="47" xr10:uidLastSave="{00000000-0000-0000-0000-000000000000}"/>
  <bookViews>
    <workbookView xWindow="-120" yWindow="-120" windowWidth="24240" windowHeight="13020" firstSheet="3" activeTab="4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<sst xmlns="http://schemas.openxmlformats.org/spreadsheetml/2006/main" count="947" uniqueCount="442">
  <si>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</si>
  <si>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</si>
  <si>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</si>
  <si>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</si>
  <si>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</si>
  <si>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</si>
  <si>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</si>
  <si>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</si>
  <si>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</si>
  <si>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</si>
  <si>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</si>
  <si>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</si>
  <si>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</si>
  <si>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</si>
  <si>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</si>
  <si>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</si>
  <si>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</si>
  <si>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</si>
  <si>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</si>
  <si>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</si>
  <si>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</si>
  <si>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</si>
  <si>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</si>
  <si>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</si>
  <si>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</si>
  <si>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</si>
  <si>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</si>
  <si>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</si>
  <si>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</si>
  <si>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</si>
  <si>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</si>
  <si>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</si>
  <si>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</si>
  <si>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</si>
  <si>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</si>
  <si>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</si>
  <si>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</si>
  <si>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</si>
  <si>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</si>
  <si>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</si>
  <si>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</si>
  <si>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</si>
  <si>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</si>
  <si>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</si>
  <si>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</si>
  <si>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</si>
  <si>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</si>
  <si>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</si>
  <si>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</si>
  <si>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</si>
  <si>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</si>
  <si>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</si>
  <si>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</si>
  <si>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</si>
  <si>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</si>
  <si>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</si>
  <si>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</si>
  <si>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</si>
  <si>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</si>
  <si>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</si>
  <si>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</si>
  <si>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</si>
  <si>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</si>
  <si>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</si>
  <si>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</si>
  <si>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</si>
  <si>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</si>
  <si>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</si>
  <si>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</si>
  <si>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</si>
  <si>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</si>
  <si>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</si>
  <si>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</si>
  <si>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</si>
  <si>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</si>
  <si>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</si>
  <si>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</si>
  <si>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</si>
  <si>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</si>
  <si>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</si>
  <si>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</si>
  <si>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</si>
  <si>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</si>
  <si>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</si>
  <si>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</si>
  <si>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</si>
  <si>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</si>
  <si>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</si>
  <si>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</si>
  <si>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</si>
  <si>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</si>
  <si>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</si>
  <si>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</si>
  <si>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</si>
  <si>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</si>
  <si>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</si>
  <si>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</si>
  <si>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</si>
  <si>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</si>
  <si>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</si>
  <si>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</si>
  <si>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</si>
  <si>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</si>
  <si>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</si>
  <si>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</si>
  <si>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</si>
  <si>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</si>
  <si>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</si>
  <si>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</si>
  <si>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</si>
  <si>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</si>
  <si>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</si>
  <si>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</si>
  <si>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</si>
  <si>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</si>
  <si>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</si>
  <si>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</si>
  <si>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</si>
  <si>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</si>
  <si>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</si>
  <si>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</si>
  <si>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</si>
  <si>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</si>
  <si>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</si>
  <si>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</si>
  <si>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</si>
  <si>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</si>
  <si>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</si>
  <si>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</si>
  <si>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</si>
  <si>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</si>
  <si>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</si>
  <si>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</si>
  <si>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</si>
  <si>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</si>
  <si>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</si>
  <si>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</si>
  <si>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</si>
  <si>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</si>
  <si>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</si>
  <si>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</si>
  <si>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</si>
  <si>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</si>
  <si>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</si>
  <si>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</si>
  <si>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</si>
  <si>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</si>
  <si>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</si>
  <si>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</si>
  <si>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</si>
  <si>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</si>
  <si>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</si>
  <si>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</si>
  <si>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</si>
  <si>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</si>
  <si>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</si>
  <si>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</si>
  <si>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</si>
  <si>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</si>
  <si>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</si>
  <si>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</si>
  <si>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</si>
  <si>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</si>
  <si>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</si>
  <si>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</si>
  <si>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</si>
  <si>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</si>
  <si>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</si>
  <si>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</si>
  <si>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</si>
  <si>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</si>
  <si>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</si>
  <si>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</si>
  <si>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</si>
  <si>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</si>
  <si>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</si>
  <si>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</si>
  <si>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</si>
  <si>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</si>
  <si>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</si>
  <si>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</si>
  <si>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</si>
  <si>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</si>
  <si>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</si>
  <si>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</si>
  <si>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</si>
  <si>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</si>
  <si>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</si>
  <si>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</si>
  <si>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</si>
  <si>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</si>
  <si>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</si>
  <si>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</si>
  <si>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</si>
  <si>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</si>
  <si>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</si>
  <si>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</si>
  <si>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</si>
  <si>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</si>
  <si>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</si>
  <si>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</si>
  <si>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</si>
  <si>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</si>
  <si>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</si>
  <si>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</si>
  <si>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</si>
  <si>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</si>
  <si>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</si>
  <si>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</si>
  <si>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</si>
  <si>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</si>
  <si>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</si>
  <si>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</si>
  <si>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</si>
  <si>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</si>
  <si>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</si>
  <si>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</si>
  <si>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</si>
  <si>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</si>
  <si>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</si>
  <si>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</si>
  <si>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</si>
  <si>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</si>
  <si>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</si>
  <si>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</si>
  <si>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</si>
  <si>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</si>
  <si>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</si>
  <si>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</si>
  <si>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</si>
  <si>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</si>
  <si>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</si>
  <si>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</si>
  <si>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</si>
  <si>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</si>
  <si>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</si>
  <si>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</si>
  <si>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</si>
  <si>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</si>
  <si>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</si>
  <si>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</si>
  <si>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</si>
  <si>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</si>
  <si>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</si>
  <si>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</si>
  <si>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</si>
  <si>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</si>
  <si>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</si>
  <si>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</si>
  <si>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</si>
  <si>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</si>
  <si>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</si>
  <si>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</si>
  <si>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</si>
  <si>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</si>
  <si>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</si>
  <si>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</si>
  <si>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</si>
  <si>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</si>
  <si>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</si>
  <si>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</si>
  <si>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</si>
  <si>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</si>
  <si>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</si>
  <si>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</si>
  <si>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</si>
  <si>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</si>
  <si>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</si>
  <si>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</si>
  <si>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</si>
  <si>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</si>
  <si>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</si>
  <si>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</si>
  <si>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</si>
  <si>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</si>
  <si>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</si>
  <si>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</si>
  <si>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</si>
  <si>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</si>
  <si>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</si>
  <si>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</si>
  <si>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</si>
  <si>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</si>
  <si>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</si>
  <si>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</si>
  <si>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</si>
  <si>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</si>
  <si>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</si>
  <si>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</si>
  <si>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</si>
  <si>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</si>
  <si>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</si>
  <si>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</si>
  <si>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</si>
  <si>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</si>
  <si>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</si>
  <si>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</si>
  <si>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</si>
  <si>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</si>
  <si>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</si>
  <si>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</si>
  <si>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</si>
  <si>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</si>
  <si>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</si>
  <si>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</si>
  <si>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</si>
  <si>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</si>
  <si>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</si>
  <si>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</si>
  <si>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</si>
  <si>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</si>
  <si>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</si>
  <si>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</si>
  <si>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</si>
  <si>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</si>
  <si>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</si>
  <si>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</si>
  <si>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</si>
  <si>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</si>
  <si>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</si>
  <si>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</si>
  <si>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</si>
  <si>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</si>
  <si>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</si>
  <si>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</si>
  <si>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</si>
  <si>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</si>
  <si>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</si>
  <si>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</si>
  <si>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</si>
  <si>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</si>
  <si>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</si>
  <si>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</si>
  <si>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</si>
  <si>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</si>
  <si>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</si>
  <si>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</si>
  <si>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</si>
  <si>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</si>
  <si>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</si>
  <si>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</si>
  <si>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</si>
  <si>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</si>
  <si>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</si>
  <si>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</si>
  <si>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</si>
  <si>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</si>
  <si>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</si>
  <si>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</si>
  <si>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</si>
  <si>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</si>
  <si>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</si>
  <si>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</si>
  <si>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</si>
  <si>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</si>
  <si>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</si>
  <si>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</si>
  <si>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</si>
  <si>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</si>
  <si>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</si>
  <si>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</si>
  <si>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</si>
  <si>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</si>
  <si>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</si>
  <si>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</si>
  <si>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</si>
  <si>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</si>
  <si>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</si>
  <si>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</si>
  <si>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</si>
  <si>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</si>
  <si>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</si>
  <si>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</si>
  <si>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</si>
  <si>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</si>
  <si>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</si>
  <si>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</si>
  <si>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</si>
  <si>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</si>
  <si>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</si>
  <si>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</si>
  <si>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</si>
  <si>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</si>
  <si>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</si>
  <si>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</si>
  <si>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</si>
  <si>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</si>
  <si>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</si>
  <si>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</si>
  <si>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</si>
  <si>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</si>
  <si>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</si>
  <si>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</si>
  <si>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</si>
  <si>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</si>
  <si>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</si>
  <si>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</si>
  <si>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</si>
  <si>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</si>
  <si>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</si>
  <si>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</si>
  <si>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</si>
  <si>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</si>
  <si>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</si>
  <si>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</si>
  <si>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</si>
  <si>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</si>
  <si>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</si>
  <si>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</si>
  <si>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</si>
  <si>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</si>
  <si>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</si>
  <si>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</si>
  <si>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</si>
  <si>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</si>
  <si>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</si>
  <si>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</si>
  <si>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</si>
  <si>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</si>
  <si>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</si>
  <si>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</si>
  <si>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</si>
  <si>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</si>
  <si>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</si>
  <si>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</si>
  <si>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</si>
  <si>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</si>
  <si>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</si>
  <si>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</si>
  <si>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</si>
  <si>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</si>
  <si>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</si>
  <si>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</si>
  <si>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</si>
  <si>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</si>
  <si>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</si>
  <si>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</si>
  <si>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</si>
  <si>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</si>
  <si>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</si>
  <si>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</si>
  <si>
    <t>medi_form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</si>
</sst>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283</v>
      </c>
      <c r="B2" s="1" t="s">
        <v>437</v>
      </c>
    </row>
    <row r="3" spans="1:2" x14ac:dyDescent="0.25">
      <c r="A3" t="s">
        <v>375</v>
      </c>
      <c r="B3" s="1" t="s">
        <v>376</v>
      </c>
    </row>
  </sheetData>
  <hyperlinks>
    <hyperlink ref="B2" r:id="rId1" xr:uid="{0C05B6B9-5554-4DE8-9F6A-6002C7FF4022}"/>
    <hyperlink ref="B3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8" sqref="G8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378</v>
      </c>
      <c r="E2" s="3" t="s">
        <v>201</v>
      </c>
      <c r="F2" s="3" t="s">
        <v>432</v>
      </c>
      <c r="G2" s="3" t="s">
        <v>433</v>
      </c>
      <c r="H2" s="3" t="s">
        <v>50</v>
      </c>
      <c r="I2" s="4" t="s">
        <v>434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5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D5" sqref="D5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1.8554687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441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202</v>
      </c>
    </row>
    <row r="2" spans="1:33" x14ac:dyDescent="0.25">
      <c r="A2" t="s">
        <v>223</v>
      </c>
      <c r="B2" t="s">
        <v>438</v>
      </c>
      <c r="C2" s="6">
        <v>2</v>
      </c>
      <c r="D2" s="6">
        <v>2</v>
      </c>
      <c r="E2" t="s">
        <v>71</v>
      </c>
      <c r="F2" t="s">
        <v>73</v>
      </c>
      <c r="G2" t="s">
        <v>73</v>
      </c>
      <c r="H2" s="6" t="s">
        <v>82</v>
      </c>
      <c r="I2" s="6" t="s">
        <v>103</v>
      </c>
      <c r="J2" s="7" t="s">
        <v>435</v>
      </c>
      <c r="K2" s="7" t="s">
        <v>436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6" t="s">
        <v>115</v>
      </c>
      <c r="W2" s="6" t="s">
        <v>82</v>
      </c>
      <c r="X2" t="s">
        <v>102</v>
      </c>
      <c r="Y2" t="s">
        <v>105</v>
      </c>
      <c r="Z2" s="6" t="s">
        <v>178</v>
      </c>
      <c r="AA2" t="s">
        <v>109</v>
      </c>
      <c r="AB2" s="6" t="s">
        <v>113</v>
      </c>
      <c r="AC2">
        <v>5</v>
      </c>
      <c r="AD2" t="s">
        <v>111</v>
      </c>
      <c r="AE2" t="s">
        <v>176</v>
      </c>
      <c r="AF2" t="s">
        <v>182</v>
      </c>
      <c r="AG2" s="9" t="s">
        <v>203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tabSelected="1" workbookViewId="0">
      <selection activeCell="D6" sqref="D6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441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127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223</v>
      </c>
      <c r="B2" t="str">
        <f>AddMedication!B2</f>
        <v>Paracetamol 500mg / Ibuprofen 200mg tablets</v>
      </c>
      <c r="C2" s="6" t="s">
        <v>113</v>
      </c>
      <c r="D2" s="6">
        <v>3</v>
      </c>
      <c r="E2" t="s">
        <v>86</v>
      </c>
      <c r="F2" t="s">
        <v>73</v>
      </c>
      <c r="G2" t="s">
        <v>73</v>
      </c>
      <c r="H2" s="6" t="s">
        <v>185</v>
      </c>
      <c r="I2" s="6" t="s">
        <v>113</v>
      </c>
      <c r="J2" s="7" t="s">
        <v>183</v>
      </c>
      <c r="K2" s="7" t="s">
        <v>184</v>
      </c>
      <c r="L2" t="s">
        <v>89</v>
      </c>
      <c r="O2" t="s">
        <v>87</v>
      </c>
      <c r="P2" t="s">
        <v>88</v>
      </c>
      <c r="Q2" t="s">
        <v>176</v>
      </c>
      <c r="R2" t="s">
        <v>93</v>
      </c>
      <c r="S2" s="6" t="s">
        <v>113</v>
      </c>
      <c r="T2" s="6" t="s">
        <v>187</v>
      </c>
      <c r="U2" t="s">
        <v>186</v>
      </c>
      <c r="V2" t="s">
        <v>188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223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218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217</v>
      </c>
      <c r="C2" s="6" t="s">
        <v>122</v>
      </c>
      <c r="D2" t="s">
        <v>126</v>
      </c>
      <c r="E2" t="s">
        <v>117</v>
      </c>
      <c r="F2" s="8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6" t="s">
        <v>122</v>
      </c>
      <c r="C2" t="s">
        <v>126</v>
      </c>
      <c r="D2" t="s">
        <v>132</v>
      </c>
      <c r="E2" s="8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218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222</v>
      </c>
      <c r="B2" t="s">
        <v>221</v>
      </c>
      <c r="C2" t="s">
        <v>126</v>
      </c>
      <c r="D2" t="s">
        <v>131</v>
      </c>
      <c r="E2" s="7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222</v>
      </c>
      <c r="B2" t="s">
        <v>126</v>
      </c>
      <c r="C2" t="s">
        <v>131</v>
      </c>
      <c r="D2" s="7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9">
        <v>45420</v>
      </c>
      <c r="D2" s="8" t="s">
        <v>137</v>
      </c>
      <c r="E2" s="10" t="s">
        <v>220</v>
      </c>
      <c r="F2" s="6" t="s">
        <v>219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10" t="s">
        <v>158</v>
      </c>
      <c r="D2" s="8" t="s">
        <v>154</v>
      </c>
      <c r="E2" s="10" t="s">
        <v>162</v>
      </c>
      <c r="F2" s="6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202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212</v>
      </c>
      <c r="F2" t="s">
        <v>159</v>
      </c>
      <c r="G2" t="s">
        <v>160</v>
      </c>
      <c r="I2" s="10" t="s">
        <v>377</v>
      </c>
      <c r="J2" s="10" t="s">
        <v>377</v>
      </c>
      <c r="K2" s="10" t="s">
        <v>158</v>
      </c>
      <c r="L2" t="s">
        <v>431</v>
      </c>
      <c r="M2" t="s">
        <v>189</v>
      </c>
      <c r="N2" s="9" t="s">
        <v>203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10" t="s">
        <v>162</v>
      </c>
      <c r="J2" s="10" t="s">
        <v>162</v>
      </c>
      <c r="K2" s="10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132</v>
      </c>
      <c r="D2" s="8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117</v>
      </c>
      <c r="D2" s="8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372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09/06/2025</v>
      </c>
      <c r="E2" s="3" t="s">
        <v>198</v>
      </c>
      <c r="F2" t="s">
        <v>195</v>
      </c>
      <c r="G2" s="10" t="s">
        <v>284</v>
      </c>
      <c r="H2" s="10" t="s">
        <v>285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09/06/2025</v>
      </c>
      <c r="E2" s="3" t="s">
        <v>199</v>
      </c>
      <c r="F2" t="s">
        <v>195</v>
      </c>
      <c r="G2" s="7" t="s">
        <v>285</v>
      </c>
      <c r="H2" s="7" t="s">
        <v>286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215</v>
      </c>
      <c r="D1" t="s">
        <v>208</v>
      </c>
      <c r="E1" t="s">
        <v>209</v>
      </c>
      <c r="F1" t="s">
        <v>210</v>
      </c>
      <c r="G1" t="s">
        <v>214</v>
      </c>
      <c r="H1" t="s">
        <v>211</v>
      </c>
      <c r="I1" t="s">
        <v>94</v>
      </c>
      <c r="J1" t="s">
        <v>127</v>
      </c>
      <c r="K1" t="s">
        <v>202</v>
      </c>
      <c r="L1" t="s">
        <v>205</v>
      </c>
      <c r="M1" t="s">
        <v>206</v>
      </c>
      <c r="N1" t="s">
        <v>202</v>
      </c>
    </row>
    <row r="2" spans="1:14" ht="18.75" customHeight="1" x14ac:dyDescent="0.25">
      <c r="A2" t="s">
        <v>213</v>
      </c>
      <c r="B2" t="s">
        <v>440</v>
      </c>
      <c r="C2" s="7" t="s">
        <v>374</v>
      </c>
      <c r="D2" s="7" t="s">
        <v>374</v>
      </c>
      <c r="E2" s="7" t="s">
        <v>103</v>
      </c>
      <c r="F2" s="7" t="s">
        <v>307</v>
      </c>
      <c r="G2" s="3" t="s">
        <v>216</v>
      </c>
      <c r="H2" s="3" t="s">
        <v>212</v>
      </c>
      <c r="I2" s="3" t="s">
        <v>207</v>
      </c>
      <c r="J2" t="s">
        <v>204</v>
      </c>
      <c r="K2" s="8" t="s">
        <v>203</v>
      </c>
      <c r="L2" t="s">
        <v>117</v>
      </c>
      <c r="M2" t="s">
        <v>207</v>
      </c>
      <c r="N2" s="9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208</v>
      </c>
      <c r="D1" t="s">
        <v>209</v>
      </c>
      <c r="E1" t="s">
        <v>210</v>
      </c>
      <c r="F1" t="s">
        <v>214</v>
      </c>
      <c r="G1" t="s">
        <v>211</v>
      </c>
      <c r="H1" t="s">
        <v>94</v>
      </c>
      <c r="I1" t="s">
        <v>127</v>
      </c>
      <c r="J1" t="s">
        <v>202</v>
      </c>
      <c r="K1" t="s">
        <v>205</v>
      </c>
      <c r="L1" t="s">
        <v>206</v>
      </c>
    </row>
    <row r="2" spans="1:12" ht="18.75" customHeight="1" x14ac:dyDescent="0.25">
      <c r="A2" t="s">
        <v>213</v>
      </c>
      <c r="B2" t="s">
        <v>440</v>
      </c>
      <c r="C2" s="7">
        <f ca="1">TODAY()</f>
        <v>45817</v>
      </c>
      <c r="D2" s="7" t="s">
        <v>103</v>
      </c>
      <c r="E2" s="7" t="s">
        <v>307</v>
      </c>
      <c r="F2" s="3" t="s">
        <v>216</v>
      </c>
      <c r="G2" s="3" t="s">
        <v>212</v>
      </c>
      <c r="H2" s="3" t="s">
        <v>207</v>
      </c>
      <c r="I2" t="s">
        <v>204</v>
      </c>
      <c r="J2" s="8" t="s">
        <v>203</v>
      </c>
      <c r="K2" t="s">
        <v>117</v>
      </c>
      <c r="L2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213</v>
      </c>
      <c r="B2" t="s">
        <v>440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225</v>
      </c>
      <c r="G1" t="s">
        <v>129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75" x14ac:dyDescent="0.25">
      <c r="A2" t="s">
        <v>232</v>
      </c>
      <c r="B2" t="s">
        <v>233</v>
      </c>
      <c r="C2" s="8" t="s">
        <v>137</v>
      </c>
      <c r="D2" s="3" t="s">
        <v>234</v>
      </c>
      <c r="E2" t="s">
        <v>235</v>
      </c>
      <c r="F2" t="s">
        <v>236</v>
      </c>
      <c r="G2">
        <v>57749615244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1" bestFit="1" customWidth="1"/>
    <col min="8" max="8" width="13.5703125" style="11" bestFit="1" customWidth="1"/>
    <col min="9" max="9" width="13.7109375" style="11" bestFit="1" customWidth="1"/>
    <col min="10" max="10" width="16.85546875" style="11" bestFit="1" customWidth="1"/>
    <col min="11" max="11" width="16" style="11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129</v>
      </c>
      <c r="G1" s="11" t="s">
        <v>225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30" x14ac:dyDescent="0.25">
      <c r="A2" t="s">
        <v>232</v>
      </c>
      <c r="B2" t="s">
        <v>233</v>
      </c>
      <c r="C2" s="8" t="s">
        <v>137</v>
      </c>
      <c r="D2" s="3" t="s">
        <v>240</v>
      </c>
      <c r="E2" t="s">
        <v>235</v>
      </c>
      <c r="F2">
        <v>57749615244</v>
      </c>
      <c r="G2" s="11" t="s">
        <v>236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233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248</v>
      </c>
      <c r="E2" t="s">
        <v>249</v>
      </c>
      <c r="F2" s="12" t="s">
        <v>250</v>
      </c>
      <c r="G2" t="s">
        <v>251</v>
      </c>
      <c r="H2" s="12" t="s">
        <v>252</v>
      </c>
      <c r="I2" s="12" t="s">
        <v>253</v>
      </c>
      <c r="J2" s="12" t="s">
        <v>159</v>
      </c>
      <c r="K2" s="12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254</v>
      </c>
      <c r="E2" t="s">
        <v>249</v>
      </c>
      <c r="F2" s="12" t="s">
        <v>255</v>
      </c>
      <c r="G2" t="s">
        <v>251</v>
      </c>
      <c r="H2" s="12" t="s">
        <v>256</v>
      </c>
      <c r="I2" s="12" t="s">
        <v>257</v>
      </c>
      <c r="J2" s="12" t="s">
        <v>164</v>
      </c>
      <c r="K2" s="12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6" t="s">
        <v>439</v>
      </c>
      <c r="B2" t="s">
        <v>258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259</v>
      </c>
      <c r="E1" t="s">
        <v>127</v>
      </c>
      <c r="F1" t="s">
        <v>129</v>
      </c>
    </row>
    <row r="2" spans="1:6" ht="30" x14ac:dyDescent="0.25">
      <c r="A2" t="s">
        <v>260</v>
      </c>
      <c r="B2" t="s">
        <v>260</v>
      </c>
      <c r="C2" s="8" t="s">
        <v>137</v>
      </c>
      <c r="D2" s="3" t="s">
        <v>261</v>
      </c>
      <c r="E2" t="s">
        <v>262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259</v>
      </c>
      <c r="D1" t="s">
        <v>127</v>
      </c>
    </row>
    <row r="2" spans="1:4" x14ac:dyDescent="0.25">
      <c r="A2" t="s">
        <v>260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260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265</v>
      </c>
      <c r="D2" t="s">
        <v>266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t="s">
        <v>264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275</v>
      </c>
      <c r="D2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270</v>
      </c>
      <c r="B2" s="6" t="s">
        <v>331</v>
      </c>
      <c r="C2" t="s">
        <v>276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281</v>
      </c>
      <c r="D2" t="s">
        <v>277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280</v>
      </c>
      <c r="D2" t="s">
        <v>277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279</v>
      </c>
      <c r="B2" t="s">
        <v>373</v>
      </c>
      <c r="C2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207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t="s">
        <v>316</v>
      </c>
      <c r="S1" t="s">
        <v>317</v>
      </c>
      <c r="T1" t="s">
        <v>318</v>
      </c>
      <c r="U1" t="s">
        <v>318</v>
      </c>
    </row>
    <row r="2" spans="1:21" x14ac:dyDescent="0.25">
      <c r="A2" t="s">
        <v>287</v>
      </c>
      <c r="B2" t="s">
        <v>288</v>
      </c>
      <c r="C2" s="3" t="s">
        <v>313</v>
      </c>
      <c r="D2" t="s">
        <v>289</v>
      </c>
      <c r="F2" t="s">
        <v>312</v>
      </c>
      <c r="G2" t="s">
        <v>314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315</v>
      </c>
      <c r="R2" s="6" t="s">
        <v>319</v>
      </c>
      <c r="S2" s="6" t="s">
        <v>320</v>
      </c>
      <c r="T2" s="6" t="s">
        <v>319</v>
      </c>
      <c r="U2" s="6" t="s">
        <v>321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34.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328</v>
      </c>
      <c r="F2" t="s">
        <v>329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18.7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330</v>
      </c>
      <c r="F2" t="s">
        <v>329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324</v>
      </c>
      <c r="B2" t="s">
        <v>325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333</v>
      </c>
      <c r="B2" s="6" t="s">
        <v>334</v>
      </c>
      <c r="C2" s="6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338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G1" t="s">
        <v>344</v>
      </c>
      <c r="H1" t="s">
        <v>345</v>
      </c>
      <c r="I1" t="s">
        <v>346</v>
      </c>
      <c r="J1" t="s">
        <v>347</v>
      </c>
      <c r="K1" t="s">
        <v>348</v>
      </c>
      <c r="L1" t="s">
        <v>349</v>
      </c>
      <c r="M1" t="s">
        <v>350</v>
      </c>
      <c r="N1" t="s">
        <v>351</v>
      </c>
      <c r="O1" t="s">
        <v>352</v>
      </c>
    </row>
    <row r="2" spans="1:15" x14ac:dyDescent="0.25">
      <c r="A2" t="s">
        <v>353</v>
      </c>
      <c r="B2" s="10" t="s">
        <v>354</v>
      </c>
      <c r="C2" s="13" t="s">
        <v>355</v>
      </c>
      <c r="D2" s="13" t="s">
        <v>356</v>
      </c>
      <c r="E2" s="13" t="s">
        <v>357</v>
      </c>
      <c r="F2" t="s">
        <v>358</v>
      </c>
      <c r="G2" t="s">
        <v>371</v>
      </c>
      <c r="H2" t="s">
        <v>98</v>
      </c>
      <c r="I2" t="s">
        <v>359</v>
      </c>
      <c r="J2" t="s">
        <v>360</v>
      </c>
      <c r="K2" t="s">
        <v>361</v>
      </c>
      <c r="L2" t="s">
        <v>362</v>
      </c>
      <c r="M2" s="6" t="s">
        <v>321</v>
      </c>
      <c r="N2" s="6" t="s">
        <v>363</v>
      </c>
      <c r="O2" t="s">
        <v>364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365</v>
      </c>
      <c r="B1" t="s">
        <v>366</v>
      </c>
      <c r="C1" t="s">
        <v>343</v>
      </c>
      <c r="D1" t="s">
        <v>344</v>
      </c>
      <c r="E1" t="s">
        <v>345</v>
      </c>
      <c r="F1" t="s">
        <v>346</v>
      </c>
      <c r="G1" t="s">
        <v>367</v>
      </c>
      <c r="H1" t="s">
        <v>303</v>
      </c>
      <c r="I1" t="s">
        <v>350</v>
      </c>
      <c r="J1" t="s">
        <v>351</v>
      </c>
      <c r="K1" t="s">
        <v>352</v>
      </c>
    </row>
    <row r="2" spans="1:11" x14ac:dyDescent="0.25">
      <c r="A2" s="10" t="s">
        <v>368</v>
      </c>
      <c r="B2" s="13" t="s">
        <v>369</v>
      </c>
      <c r="C2" t="s">
        <v>358</v>
      </c>
      <c r="D2" t="s">
        <v>371</v>
      </c>
      <c r="E2" t="s">
        <v>98</v>
      </c>
      <c r="F2" t="s">
        <v>359</v>
      </c>
      <c r="G2" t="s">
        <v>361</v>
      </c>
      <c r="H2" t="s">
        <v>370</v>
      </c>
      <c r="I2" s="6" t="s">
        <v>321</v>
      </c>
      <c r="J2" s="6" t="s">
        <v>363</v>
      </c>
      <c r="K2" t="s">
        <v>364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388</v>
      </c>
      <c r="F2" t="s">
        <v>389</v>
      </c>
      <c r="G2" t="s">
        <v>390</v>
      </c>
      <c r="H2" t="s">
        <v>391</v>
      </c>
      <c r="I2" t="s">
        <v>393</v>
      </c>
      <c r="J2" t="s">
        <v>395</v>
      </c>
      <c r="K2" t="s">
        <v>397</v>
      </c>
      <c r="L2" t="s">
        <v>399</v>
      </c>
      <c r="M2" t="s">
        <v>401</v>
      </c>
      <c r="N2" t="s">
        <v>406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407</v>
      </c>
      <c r="F2" t="s">
        <v>389</v>
      </c>
      <c r="G2" t="s">
        <v>390</v>
      </c>
      <c r="H2" t="s">
        <v>408</v>
      </c>
      <c r="I2" t="s">
        <v>393</v>
      </c>
      <c r="J2" t="s">
        <v>395</v>
      </c>
      <c r="K2" t="s">
        <v>409</v>
      </c>
      <c r="L2" t="s">
        <v>399</v>
      </c>
      <c r="M2" t="s">
        <v>401</v>
      </c>
      <c r="N2" t="s">
        <v>410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419</v>
      </c>
      <c r="H1" t="s">
        <v>420</v>
      </c>
      <c r="I1" t="s">
        <v>421</v>
      </c>
      <c r="J1" t="s">
        <v>422</v>
      </c>
      <c r="K1" t="s">
        <v>423</v>
      </c>
      <c r="L1" t="s">
        <v>429</v>
      </c>
    </row>
    <row r="2" spans="1:12" x14ac:dyDescent="0.25">
      <c r="A2" s="7" t="s">
        <v>427</v>
      </c>
      <c r="B2" s="8" t="str">
        <f ca="1">TEXT(TODAY(), "DD/MM/YYYY")</f>
        <v>09/06/2025</v>
      </c>
      <c r="C2" t="s">
        <v>417</v>
      </c>
      <c r="D2" t="s">
        <v>418</v>
      </c>
      <c r="E2" t="s">
        <v>307</v>
      </c>
      <c r="F2" t="s">
        <v>117</v>
      </c>
      <c r="H2" t="s">
        <v>424</v>
      </c>
      <c r="I2" t="s">
        <v>425</v>
      </c>
      <c r="J2" t="s">
        <v>426</v>
      </c>
      <c r="K2" t="s">
        <v>428</v>
      </c>
      <c r="L2" t="s">
        <v>430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4" t="s">
        <v>123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258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2025-06-09T16:16:20Z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