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0CACC224-14AA-422B-BD52-2CF688CF12E7}" xr6:coauthVersionLast="47" xr6:coauthVersionMax="47" xr10:uidLastSave="{00000000-0000-0000-0000-000000000000}"/>
  <bookViews>
    <workbookView xWindow="-120" yWindow="-120" windowWidth="24240" windowHeight="13020" firstSheet="3" activeTab="3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CarePlan" sheetId="57" r:id="rId57"/>
    <sheet name="EditCarePlan" sheetId="58" r:id="rId58"/>
    <sheet name="DeleteCarePlan" sheetId="59" r:id="rId59"/>
    <sheet name="Alerts" sheetId="60" r:id="rId60"/>
    <sheet name="DeleteInvestigation" sheetId="62" r:id="rId6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<sst xmlns="http://schemas.openxmlformats.org/spreadsheetml/2006/main" count="950" uniqueCount="442">
  <si>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</si>
  <si>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</si>
  <si>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</si>
  <si>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</si>
  <si>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</si>
  <si>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</si>
  <si>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</si>
  <si>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</si>
  <si>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</si>
  <si>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</si>
  <si>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</si>
  <si>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</si>
  <si>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</si>
  <si>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</si>
  <si>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</si>
  <si>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</si>
  <si>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</si>
  <si>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</si>
  <si>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</si>
  <si>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</si>
  <si>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</si>
  <si>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</si>
  <si>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</si>
  <si>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</si>
  <si>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</si>
  <si>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</si>
  <si>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</si>
  <si>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</si>
  <si>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</si>
  <si>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</si>
  <si>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</si>
  <si>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</si>
  <si>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</si>
  <si>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</si>
  <si>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</si>
  <si>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</si>
  <si>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</si>
  <si>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</si>
  <si>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</si>
  <si>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</si>
  <si>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</si>
  <si>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</si>
  <si>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</si>
  <si>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</si>
  <si>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</si>
  <si>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</si>
  <si>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</si>
  <si>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</si>
  <si>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</si>
  <si>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</si>
  <si>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</si>
  <si>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</si>
  <si>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</si>
  <si>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</si>
  <si>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</si>
  <si>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</si>
  <si>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</si>
  <si>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</si>
  <si>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</si>
  <si>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</si>
  <si>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</si>
  <si>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</si>
  <si>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</si>
  <si>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</si>
  <si>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</si>
  <si>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</si>
  <si>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</si>
  <si>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</si>
  <si>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</si>
  <si>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</si>
  <si>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</si>
  <si>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</si>
  <si>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</si>
  <si>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</si>
  <si>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</si>
  <si>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</si>
  <si>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</si>
  <si>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</si>
  <si>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</si>
  <si>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</si>
  <si>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</si>
  <si>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</si>
  <si>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</si>
  <si>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</si>
  <si>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</si>
  <si>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</si>
  <si>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</si>
  <si>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</si>
  <si>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</si>
  <si>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</si>
  <si>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</si>
  <si>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</si>
  <si>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</si>
  <si>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</si>
  <si>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</si>
  <si>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</si>
  <si>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</si>
  <si>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</si>
  <si>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</si>
  <si>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</si>
  <si>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</si>
  <si>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</si>
  <si>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</si>
  <si>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</si>
  <si>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</si>
  <si>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</si>
  <si>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</si>
  <si>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</si>
  <si>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</si>
  <si>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</si>
  <si>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</si>
  <si>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</si>
  <si>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</si>
  <si>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</si>
  <si>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</si>
  <si>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</si>
  <si>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</si>
  <si>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</si>
  <si>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</si>
  <si>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</si>
  <si>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</si>
  <si>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</si>
  <si>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</si>
  <si>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</si>
  <si>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</si>
  <si>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</si>
  <si>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</si>
  <si>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</si>
  <si>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</si>
  <si>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</si>
  <si>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</si>
  <si>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</si>
  <si>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</si>
  <si>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</si>
  <si>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</si>
  <si>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</si>
  <si>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</si>
  <si>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</si>
  <si>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</si>
  <si>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</si>
  <si>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</si>
  <si>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</si>
  <si>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</si>
  <si>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</si>
  <si>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</si>
  <si>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</si>
  <si>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</si>
  <si>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</si>
  <si>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</si>
  <si>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</si>
  <si>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</si>
  <si>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</si>
  <si>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</si>
  <si>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</si>
  <si>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</si>
  <si>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</si>
  <si>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</si>
  <si>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</si>
  <si>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</si>
  <si>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</si>
  <si>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</si>
  <si>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</si>
  <si>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</si>
  <si>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</si>
  <si>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</si>
  <si>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</si>
  <si>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</si>
  <si>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</si>
  <si>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</si>
  <si>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</si>
  <si>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</si>
  <si>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</si>
  <si>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</si>
  <si>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</si>
  <si>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</si>
  <si>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</si>
  <si>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</si>
  <si>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</si>
  <si>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</si>
  <si>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</si>
  <si>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</si>
  <si>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</si>
  <si>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</si>
  <si>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</si>
  <si>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</si>
  <si>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</si>
  <si>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</si>
  <si>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</si>
  <si>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</si>
  <si>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</si>
  <si>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</si>
  <si>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</si>
  <si>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</si>
  <si>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</si>
  <si>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</si>
  <si>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</si>
  <si>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</si>
  <si>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</si>
  <si>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</si>
  <si>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</si>
  <si>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</si>
  <si>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Mr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</si>
  <si>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</si>
  <si>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</si>
  <si>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</si>
  <si>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</si>
  <si>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</si>
  <si>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</si>
  <si>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</si>
  <si>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</si>
  <si>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</si>
  <si>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</si>
  <si>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</si>
  <si>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</si>
  <si>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</si>
  <si>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</si>
  <si>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</si>
  <si>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</si>
  <si>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</si>
  <si>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</si>
  <si>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</si>
  <si>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</si>
  <si>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</si>
  <si>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</si>
  <si>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</si>
  <si>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</si>
  <si>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</si>
  <si>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</si>
  <si>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</si>
  <si>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</si>
  <si>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</si>
  <si>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</si>
  <si>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</si>
  <si>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</si>
  <si>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</si>
  <si>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</si>
  <si>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</si>
  <si>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</si>
  <si>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</si>
  <si>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</si>
  <si>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</si>
  <si>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</si>
  <si>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</si>
  <si>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</si>
  <si>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</si>
  <si>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</si>
  <si>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</si>
  <si>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</si>
  <si>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</si>
  <si>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</si>
  <si>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</si>
  <si>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</si>
  <si>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</si>
  <si>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</si>
  <si>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</si>
  <si>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</si>
  <si>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</si>
  <si>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</si>
  <si>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</si>
  <si>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</si>
  <si>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</si>
  <si>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</si>
  <si>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</si>
  <si>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</si>
  <si>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</si>
  <si>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</si>
  <si>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</si>
  <si>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</si>
  <si>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</si>
  <si>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</si>
  <si>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</si>
  <si>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</si>
  <si>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</si>
  <si>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</si>
  <si>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</si>
  <si>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</si>
  <si>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</si>
  <si>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</si>
  <si>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</si>
  <si>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</si>
  <si>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</si>
  <si>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</si>
  <si>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</si>
  <si>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</si>
  <si>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</si>
  <si>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</si>
  <si>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</si>
  <si>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</si>
  <si>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</si>
  <si>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</si>
  <si>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</si>
  <si>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</si>
  <si>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</si>
  <si>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</si>
  <si>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</si>
  <si>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</si>
  <si>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</si>
  <si>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</si>
  <si>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</si>
  <si>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</si>
  <si>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</si>
  <si>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</si>
  <si>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</si>
  <si>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</si>
  <si>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</si>
  <si>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</si>
  <si>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</si>
  <si>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</si>
  <si>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</si>
  <si>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</si>
  <si>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</si>
  <si>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</si>
  <si>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</si>
  <si>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</si>
  <si>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</si>
  <si>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</si>
  <si>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</si>
  <si>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</si>
  <si>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</si>
  <si>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</si>
  <si>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</si>
  <si>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</si>
  <si>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</si>
  <si>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</si>
  <si>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</si>
  <si>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</si>
  <si>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</si>
  <si>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</si>
  <si>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</si>
  <si>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</si>
  <si>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</si>
  <si>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Adult At Risk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</si>
  <si>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</si>
  <si>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</si>
  <si>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</si>
  <si>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</si>
  <si>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</si>
  <si>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</si>
  <si>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</si>
  <si>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</si>
  <si>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</si>
  <si>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</si>
  <si>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</si>
  <si>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</si>
  <si>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</si>
  <si>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</si>
  <si>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</si>
  <si>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</si>
  <si>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</si>
  <si>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</si>
  <si>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</si>
  <si>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</si>
  <si>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</si>
  <si>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</si>
  <si>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20/08/2024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</si>
  <si>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</si>
  <si>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</si>
  <si>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</si>
  <si>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</si>
  <si>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</si>
  <si>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</si>
  <si>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</si>
  <si>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</si>
  <si>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</si>
  <si>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</si>
  <si>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</si>
  <si>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</si>
  <si>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</si>
  <si>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22/08/2024</t>
  </si>
  <si>
    <t>11:00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</si>
  <si>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</si>
  <si>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</si>
  <si>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</si>
  <si>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</si>
  <si>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</si>
  <si>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</si>
  <si>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</si>
  <si>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</si>
  <si>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href05Reco271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</si>
  <si>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</si>
  <si>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</si>
  <si>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</si>
  <si>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</si>
  <si>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</si>
  <si>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</si>
  <si>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</si>
  <si>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</si>
  <si>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</si>
  <si>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</si>
  <si>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</si>
  <si>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</si>
  <si>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</si>
  <si>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</si>
  <si>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</si>
  <si>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</si>
  <si>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</si>
  <si>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</si>
  <si>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</si>
  <si>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</si>
  <si>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</si>
  <si>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</si>
  <si>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</si>
  <si>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</si>
  <si>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</si>
  <si>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</si>
  <si>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</si>
  <si>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</si>
  <si>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</si>
  <si>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</si>
  <si>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</si>
  <si>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</si>
  <si>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</si>
  <si>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</si>
  <si>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</si>
  <si>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</si>
  <si>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</si>
  <si>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</si>
  <si>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</si>
  <si>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</si>
  <si>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</si>
  <si>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</si>
  <si>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</si>
  <si>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</si>
  <si>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</si>
  <si>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</si>
  <si>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</si>
  <si>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</si>
  <si>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</si>
  <si>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</si>
  <si>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</si>
  <si>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</si>
  <si>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</si>
  <si>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Assessment</t>
  </si>
  <si>
    <t>Patient</t>
  </si>
  <si>
    <t>01/01/1990</t>
  </si>
  <si>
    <t>16/05/2025</t>
  </si>
  <si>
    <t>18/06/2025</t>
  </si>
  <si>
    <t>Saurabh@2025</t>
  </si>
  <si>
    <t>Paracetamol 500mg / Ibuprofen 200mg tablets</t>
  </si>
  <si>
    <t>Low back pain</t>
  </si>
  <si>
    <t>Knee Arthroplasty</t>
  </si>
  <si>
    <t>medi_form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</si>
</sst>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68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customXml" Target="../customXml/item2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B3" sqref="B3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283</v>
      </c>
      <c r="B2" s="1" t="s">
        <v>437</v>
      </c>
    </row>
    <row r="3" spans="1:2" x14ac:dyDescent="0.25">
      <c r="A3" t="s">
        <v>375</v>
      </c>
      <c r="B3" s="1" t="s">
        <v>376</v>
      </c>
    </row>
  </sheetData>
  <hyperlinks>
    <hyperlink ref="B2" r:id="rId1" xr:uid="{0C05B6B9-5554-4DE8-9F6A-6002C7FF4022}"/>
    <hyperlink ref="B3" r:id="rId2" xr:uid="{03C77328-BA61-4FC6-A325-FBFA15AC6C5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8" sqref="G8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378</v>
      </c>
      <c r="E2" s="3" t="s">
        <v>201</v>
      </c>
      <c r="F2" s="3" t="s">
        <v>432</v>
      </c>
      <c r="G2" s="3" t="s">
        <v>433</v>
      </c>
      <c r="H2" s="3" t="s">
        <v>50</v>
      </c>
      <c r="I2" s="4" t="s">
        <v>434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5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tabSelected="1" workbookViewId="0">
      <selection activeCell="E8" sqref="E8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1.8554687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441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179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127</v>
      </c>
      <c r="AF1" t="s">
        <v>181</v>
      </c>
      <c r="AG1" t="s">
        <v>202</v>
      </c>
    </row>
    <row r="2" spans="1:33" x14ac:dyDescent="0.25">
      <c r="A2" t="s">
        <v>223</v>
      </c>
      <c r="B2" t="s">
        <v>438</v>
      </c>
      <c r="C2" s="6" t="s">
        <v>82</v>
      </c>
      <c r="D2" s="6" t="s">
        <v>82</v>
      </c>
      <c r="E2" t="s">
        <v>71</v>
      </c>
      <c r="F2" t="s">
        <v>73</v>
      </c>
      <c r="G2" t="s">
        <v>73</v>
      </c>
      <c r="H2" s="6" t="s">
        <v>82</v>
      </c>
      <c r="I2" s="6" t="s">
        <v>103</v>
      </c>
      <c r="J2" s="7" t="s">
        <v>435</v>
      </c>
      <c r="K2" s="7" t="s">
        <v>436</v>
      </c>
      <c r="L2" t="s">
        <v>177</v>
      </c>
      <c r="O2" t="s">
        <v>83</v>
      </c>
      <c r="P2" t="s">
        <v>98</v>
      </c>
      <c r="Q2" t="s">
        <v>180</v>
      </c>
      <c r="R2" t="s">
        <v>85</v>
      </c>
      <c r="S2" t="s">
        <v>91</v>
      </c>
      <c r="T2" t="s">
        <v>93</v>
      </c>
      <c r="U2" t="s">
        <v>100</v>
      </c>
      <c r="V2" s="6" t="s">
        <v>115</v>
      </c>
      <c r="W2" s="6" t="s">
        <v>82</v>
      </c>
      <c r="X2" t="s">
        <v>102</v>
      </c>
      <c r="Y2" t="s">
        <v>105</v>
      </c>
      <c r="Z2" s="6" t="s">
        <v>178</v>
      </c>
      <c r="AA2" t="s">
        <v>109</v>
      </c>
      <c r="AB2" s="6" t="s">
        <v>113</v>
      </c>
      <c r="AC2">
        <v>5</v>
      </c>
      <c r="AD2" t="s">
        <v>111</v>
      </c>
      <c r="AE2" t="s">
        <v>176</v>
      </c>
      <c r="AF2" t="s">
        <v>182</v>
      </c>
      <c r="AG2" s="9" t="s">
        <v>203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E11" sqref="E11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441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127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223</v>
      </c>
      <c r="B2" t="str">
        <f>AddMedication!B2</f>
        <v>Paracetamol 500mg / Ibuprofen 200mg tablets</v>
      </c>
      <c r="C2" s="6" t="s">
        <v>113</v>
      </c>
      <c r="D2" s="6" t="s">
        <v>113</v>
      </c>
      <c r="E2" t="s">
        <v>86</v>
      </c>
      <c r="F2" t="s">
        <v>73</v>
      </c>
      <c r="G2" t="s">
        <v>73</v>
      </c>
      <c r="H2" s="6" t="s">
        <v>185</v>
      </c>
      <c r="I2" s="6" t="s">
        <v>113</v>
      </c>
      <c r="J2" s="7" t="s">
        <v>183</v>
      </c>
      <c r="K2" s="7" t="s">
        <v>184</v>
      </c>
      <c r="L2" t="s">
        <v>89</v>
      </c>
      <c r="O2" t="s">
        <v>87</v>
      </c>
      <c r="P2" t="s">
        <v>88</v>
      </c>
      <c r="Q2" t="s">
        <v>176</v>
      </c>
      <c r="R2" t="s">
        <v>93</v>
      </c>
      <c r="S2" s="6" t="s">
        <v>113</v>
      </c>
      <c r="T2" s="6" t="s">
        <v>187</v>
      </c>
      <c r="U2" t="s">
        <v>186</v>
      </c>
      <c r="V2" t="s">
        <v>188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223</v>
      </c>
      <c r="B2" t="str">
        <f>EditMedication!B2</f>
        <v>Paracetamol 500mg / Ibuprofen 200mg tablets</v>
      </c>
      <c r="C2" t="s">
        <v>124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218</v>
      </c>
      <c r="C1" t="s">
        <v>68</v>
      </c>
      <c r="D1" t="s">
        <v>125</v>
      </c>
      <c r="E1" t="s">
        <v>116</v>
      </c>
      <c r="F1" t="s">
        <v>133</v>
      </c>
      <c r="G1" t="s">
        <v>118</v>
      </c>
      <c r="H1" t="s">
        <v>127</v>
      </c>
      <c r="I1" t="s">
        <v>129</v>
      </c>
    </row>
    <row r="2" spans="1:9" ht="18.75" customHeight="1" x14ac:dyDescent="0.25">
      <c r="A2" t="s">
        <v>200</v>
      </c>
      <c r="B2" t="s">
        <v>217</v>
      </c>
      <c r="C2" s="6" t="s">
        <v>122</v>
      </c>
      <c r="D2" t="s">
        <v>126</v>
      </c>
      <c r="E2" t="s">
        <v>117</v>
      </c>
      <c r="F2" s="8">
        <v>45407</v>
      </c>
      <c r="G2" s="3" t="s">
        <v>119</v>
      </c>
      <c r="H2" t="s">
        <v>128</v>
      </c>
      <c r="I2" t="s">
        <v>130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125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200</v>
      </c>
      <c r="B2" s="6" t="s">
        <v>122</v>
      </c>
      <c r="C2" t="s">
        <v>126</v>
      </c>
      <c r="D2" t="s">
        <v>132</v>
      </c>
      <c r="E2" s="8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123</v>
      </c>
    </row>
    <row r="2" spans="1:2" x14ac:dyDescent="0.25">
      <c r="A2" t="s">
        <v>200</v>
      </c>
      <c r="B2" t="s">
        <v>124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218</v>
      </c>
      <c r="C1" t="s">
        <v>68</v>
      </c>
      <c r="D1" t="s">
        <v>127</v>
      </c>
      <c r="E1" t="s">
        <v>166</v>
      </c>
      <c r="F1" t="s">
        <v>168</v>
      </c>
    </row>
    <row r="2" spans="1:6" x14ac:dyDescent="0.25">
      <c r="A2" t="s">
        <v>222</v>
      </c>
      <c r="B2" t="s">
        <v>221</v>
      </c>
      <c r="C2" t="s">
        <v>126</v>
      </c>
      <c r="D2" t="s">
        <v>131</v>
      </c>
      <c r="E2" s="7" t="s">
        <v>167</v>
      </c>
      <c r="F2" t="s">
        <v>169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127</v>
      </c>
      <c r="D1" t="s">
        <v>166</v>
      </c>
      <c r="E1" t="s">
        <v>168</v>
      </c>
    </row>
    <row r="2" spans="1:5" x14ac:dyDescent="0.25">
      <c r="A2" t="s">
        <v>222</v>
      </c>
      <c r="B2" t="s">
        <v>126</v>
      </c>
      <c r="C2" t="s">
        <v>131</v>
      </c>
      <c r="D2" s="7" t="s">
        <v>167</v>
      </c>
      <c r="E2" t="s">
        <v>170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222</v>
      </c>
      <c r="B2" t="s">
        <v>126</v>
      </c>
      <c r="C2" t="s">
        <v>124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ht="30" x14ac:dyDescent="0.25">
      <c r="A2" t="s">
        <v>149</v>
      </c>
      <c r="B2" t="s">
        <v>150</v>
      </c>
      <c r="C2" s="9">
        <v>45420</v>
      </c>
      <c r="D2" s="8" t="s">
        <v>137</v>
      </c>
      <c r="E2" s="10" t="s">
        <v>220</v>
      </c>
      <c r="F2" s="6" t="s">
        <v>219</v>
      </c>
      <c r="G2" s="3" t="s">
        <v>151</v>
      </c>
      <c r="H2" t="s">
        <v>152</v>
      </c>
      <c r="I2" t="s">
        <v>153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133</v>
      </c>
      <c r="D1" t="s">
        <v>95</v>
      </c>
      <c r="E1" t="s">
        <v>146</v>
      </c>
      <c r="F1" t="s">
        <v>147</v>
      </c>
      <c r="G1" t="s">
        <v>148</v>
      </c>
      <c r="H1" t="s">
        <v>127</v>
      </c>
      <c r="I1" t="s">
        <v>129</v>
      </c>
    </row>
    <row r="2" spans="1:9" x14ac:dyDescent="0.25">
      <c r="A2" t="s">
        <v>149</v>
      </c>
      <c r="B2" t="s">
        <v>150</v>
      </c>
      <c r="C2" s="10" t="s">
        <v>158</v>
      </c>
      <c r="D2" s="8" t="s">
        <v>154</v>
      </c>
      <c r="E2" s="10" t="s">
        <v>162</v>
      </c>
      <c r="F2" s="6" t="s">
        <v>82</v>
      </c>
      <c r="G2" s="3" t="s">
        <v>155</v>
      </c>
      <c r="H2" t="s">
        <v>156</v>
      </c>
      <c r="I2" t="s">
        <v>157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150</v>
      </c>
      <c r="B2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2" sqref="L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  <c r="M1" t="s">
        <v>190</v>
      </c>
      <c r="N1" t="s">
        <v>202</v>
      </c>
    </row>
    <row r="2" spans="1:14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212</v>
      </c>
      <c r="F2" t="s">
        <v>159</v>
      </c>
      <c r="G2" t="s">
        <v>160</v>
      </c>
      <c r="I2" s="10" t="s">
        <v>377</v>
      </c>
      <c r="J2" s="10" t="s">
        <v>377</v>
      </c>
      <c r="K2" s="10" t="s">
        <v>158</v>
      </c>
      <c r="L2" t="s">
        <v>431</v>
      </c>
      <c r="M2" t="s">
        <v>189</v>
      </c>
      <c r="N2" s="9" t="s">
        <v>203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138</v>
      </c>
      <c r="F1" t="s">
        <v>139</v>
      </c>
      <c r="G1" t="s">
        <v>140</v>
      </c>
      <c r="H1" t="s">
        <v>141</v>
      </c>
      <c r="I1" t="s">
        <v>143</v>
      </c>
      <c r="J1" t="s">
        <v>142</v>
      </c>
      <c r="K1" t="s">
        <v>144</v>
      </c>
      <c r="L1" t="s">
        <v>145</v>
      </c>
    </row>
    <row r="2" spans="1:12" ht="18.75" customHeight="1" x14ac:dyDescent="0.25">
      <c r="A2" t="s">
        <v>134</v>
      </c>
      <c r="B2" t="s">
        <v>135</v>
      </c>
      <c r="C2" t="s">
        <v>136</v>
      </c>
      <c r="D2" t="s">
        <v>137</v>
      </c>
      <c r="E2" t="s">
        <v>163</v>
      </c>
      <c r="F2" t="s">
        <v>164</v>
      </c>
      <c r="G2" t="s">
        <v>165</v>
      </c>
      <c r="I2" s="10" t="s">
        <v>162</v>
      </c>
      <c r="J2" s="10" t="s">
        <v>162</v>
      </c>
      <c r="K2" s="10" t="s">
        <v>162</v>
      </c>
      <c r="L2" t="s">
        <v>161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135</v>
      </c>
      <c r="B2" t="s">
        <v>124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132</v>
      </c>
      <c r="D2" s="8">
        <v>45453</v>
      </c>
      <c r="E2" s="3" t="s">
        <v>119</v>
      </c>
      <c r="F2" t="s">
        <v>174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172</v>
      </c>
      <c r="D1" t="s">
        <v>133</v>
      </c>
      <c r="E1" t="s">
        <v>173</v>
      </c>
      <c r="F1" t="s">
        <v>127</v>
      </c>
    </row>
    <row r="2" spans="1:6" ht="18.75" customHeight="1" x14ac:dyDescent="0.25">
      <c r="A2" t="s">
        <v>171</v>
      </c>
      <c r="B2" t="s">
        <v>372</v>
      </c>
      <c r="C2" t="s">
        <v>117</v>
      </c>
      <c r="D2" s="8">
        <v>45453</v>
      </c>
      <c r="E2" s="3" t="s">
        <v>175</v>
      </c>
      <c r="F2" t="s">
        <v>174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171</v>
      </c>
      <c r="B2" t="s">
        <v>372</v>
      </c>
      <c r="C2" t="s">
        <v>124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D2" sqref="D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9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09/06/2025</v>
      </c>
      <c r="E2" s="3" t="s">
        <v>198</v>
      </c>
      <c r="F2" t="s">
        <v>195</v>
      </c>
      <c r="G2" s="10" t="s">
        <v>284</v>
      </c>
      <c r="H2" s="10" t="s">
        <v>285</v>
      </c>
      <c r="I2" s="8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193</v>
      </c>
      <c r="D1" t="s">
        <v>133</v>
      </c>
      <c r="E1" t="s">
        <v>192</v>
      </c>
      <c r="F1" t="s">
        <v>127</v>
      </c>
      <c r="G1" t="s">
        <v>197</v>
      </c>
      <c r="H1" t="s">
        <v>196</v>
      </c>
    </row>
    <row r="2" spans="1:8" ht="18.75" customHeight="1" x14ac:dyDescent="0.25">
      <c r="A2" t="s">
        <v>194</v>
      </c>
      <c r="B2" t="s">
        <v>191</v>
      </c>
      <c r="C2" t="s">
        <v>164</v>
      </c>
      <c r="D2" s="7" t="str">
        <f ca="1">TEXT(TODAY(), "DD/MM/YYYY")</f>
        <v>09/06/2025</v>
      </c>
      <c r="E2" s="3" t="s">
        <v>199</v>
      </c>
      <c r="F2" t="s">
        <v>195</v>
      </c>
      <c r="G2" s="7" t="s">
        <v>285</v>
      </c>
      <c r="H2" s="7" t="s">
        <v>286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194</v>
      </c>
      <c r="B2" t="s">
        <v>191</v>
      </c>
      <c r="C2" t="s">
        <v>124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215</v>
      </c>
      <c r="D1" t="s">
        <v>208</v>
      </c>
      <c r="E1" t="s">
        <v>209</v>
      </c>
      <c r="F1" t="s">
        <v>210</v>
      </c>
      <c r="G1" t="s">
        <v>214</v>
      </c>
      <c r="H1" t="s">
        <v>211</v>
      </c>
      <c r="I1" t="s">
        <v>94</v>
      </c>
      <c r="J1" t="s">
        <v>127</v>
      </c>
      <c r="K1" t="s">
        <v>202</v>
      </c>
      <c r="L1" t="s">
        <v>205</v>
      </c>
      <c r="M1" t="s">
        <v>206</v>
      </c>
      <c r="N1" t="s">
        <v>202</v>
      </c>
    </row>
    <row r="2" spans="1:14" ht="18.75" customHeight="1" x14ac:dyDescent="0.25">
      <c r="A2" t="s">
        <v>213</v>
      </c>
      <c r="B2" t="s">
        <v>440</v>
      </c>
      <c r="C2" s="7" t="s">
        <v>374</v>
      </c>
      <c r="D2" s="7" t="s">
        <v>374</v>
      </c>
      <c r="E2" s="7" t="s">
        <v>103</v>
      </c>
      <c r="F2" s="7" t="s">
        <v>307</v>
      </c>
      <c r="G2" s="3" t="s">
        <v>216</v>
      </c>
      <c r="H2" s="3" t="s">
        <v>212</v>
      </c>
      <c r="I2" s="3" t="s">
        <v>207</v>
      </c>
      <c r="J2" t="s">
        <v>204</v>
      </c>
      <c r="K2" s="8" t="s">
        <v>203</v>
      </c>
      <c r="L2" t="s">
        <v>117</v>
      </c>
      <c r="M2" t="s">
        <v>207</v>
      </c>
      <c r="N2" s="9" t="s">
        <v>203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208</v>
      </c>
      <c r="D1" t="s">
        <v>209</v>
      </c>
      <c r="E1" t="s">
        <v>210</v>
      </c>
      <c r="F1" t="s">
        <v>214</v>
      </c>
      <c r="G1" t="s">
        <v>211</v>
      </c>
      <c r="H1" t="s">
        <v>94</v>
      </c>
      <c r="I1" t="s">
        <v>127</v>
      </c>
      <c r="J1" t="s">
        <v>202</v>
      </c>
      <c r="K1" t="s">
        <v>205</v>
      </c>
      <c r="L1" t="s">
        <v>206</v>
      </c>
    </row>
    <row r="2" spans="1:12" ht="18.75" customHeight="1" x14ac:dyDescent="0.25">
      <c r="A2" t="s">
        <v>213</v>
      </c>
      <c r="B2" t="s">
        <v>440</v>
      </c>
      <c r="C2" s="7">
        <f ca="1">TODAY()</f>
        <v>45817</v>
      </c>
      <c r="D2" s="7" t="s">
        <v>103</v>
      </c>
      <c r="E2" s="7" t="s">
        <v>307</v>
      </c>
      <c r="F2" s="3" t="s">
        <v>216</v>
      </c>
      <c r="G2" s="3" t="s">
        <v>212</v>
      </c>
      <c r="H2" s="3" t="s">
        <v>207</v>
      </c>
      <c r="I2" t="s">
        <v>204</v>
      </c>
      <c r="J2" s="8" t="s">
        <v>203</v>
      </c>
      <c r="K2" t="s">
        <v>117</v>
      </c>
      <c r="L2" t="s">
        <v>207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213</v>
      </c>
      <c r="B2" t="s">
        <v>440</v>
      </c>
      <c r="C2" t="s">
        <v>124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K2" sqref="K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225</v>
      </c>
      <c r="G1" t="s">
        <v>129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75" x14ac:dyDescent="0.25">
      <c r="A2" t="s">
        <v>232</v>
      </c>
      <c r="B2" t="s">
        <v>233</v>
      </c>
      <c r="C2" s="8" t="s">
        <v>137</v>
      </c>
      <c r="D2" s="3" t="s">
        <v>234</v>
      </c>
      <c r="E2" t="s">
        <v>235</v>
      </c>
      <c r="F2" t="s">
        <v>236</v>
      </c>
      <c r="G2">
        <v>57749615244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1" bestFit="1" customWidth="1"/>
    <col min="8" max="8" width="13.5703125" style="11" bestFit="1" customWidth="1"/>
    <col min="9" max="9" width="13.7109375" style="11" bestFit="1" customWidth="1"/>
    <col min="10" max="10" width="16.85546875" style="11" bestFit="1" customWidth="1"/>
    <col min="11" max="11" width="16" style="11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224</v>
      </c>
      <c r="E1" t="s">
        <v>127</v>
      </c>
      <c r="F1" t="s">
        <v>129</v>
      </c>
      <c r="G1" s="11" t="s">
        <v>225</v>
      </c>
      <c r="H1" s="11" t="s">
        <v>226</v>
      </c>
      <c r="I1" s="11" t="s">
        <v>227</v>
      </c>
      <c r="J1" s="11" t="s">
        <v>228</v>
      </c>
      <c r="K1" s="11" t="s">
        <v>229</v>
      </c>
      <c r="L1" t="s">
        <v>230</v>
      </c>
      <c r="M1" t="s">
        <v>231</v>
      </c>
    </row>
    <row r="2" spans="1:13" ht="30" x14ac:dyDescent="0.25">
      <c r="A2" t="s">
        <v>232</v>
      </c>
      <c r="B2" t="s">
        <v>233</v>
      </c>
      <c r="C2" s="8" t="s">
        <v>137</v>
      </c>
      <c r="D2" s="3" t="s">
        <v>240</v>
      </c>
      <c r="E2" t="s">
        <v>235</v>
      </c>
      <c r="F2">
        <v>57749615244</v>
      </c>
      <c r="G2" s="11" t="s">
        <v>236</v>
      </c>
      <c r="H2" s="12" t="s">
        <v>82</v>
      </c>
      <c r="I2" s="12" t="s">
        <v>219</v>
      </c>
      <c r="J2" s="12" t="s">
        <v>219</v>
      </c>
      <c r="K2" s="12" t="s">
        <v>237</v>
      </c>
      <c r="L2" t="s">
        <v>238</v>
      </c>
      <c r="M2" t="s">
        <v>239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233</v>
      </c>
      <c r="B2" t="s">
        <v>124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E9" sqref="E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248</v>
      </c>
      <c r="E2" t="s">
        <v>249</v>
      </c>
      <c r="F2" s="12" t="s">
        <v>250</v>
      </c>
      <c r="G2" t="s">
        <v>251</v>
      </c>
      <c r="H2" s="12" t="s">
        <v>252</v>
      </c>
      <c r="I2" s="12" t="s">
        <v>253</v>
      </c>
      <c r="J2" s="12" t="s">
        <v>159</v>
      </c>
      <c r="K2" s="12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241</v>
      </c>
      <c r="E1" t="s">
        <v>127</v>
      </c>
      <c r="F1" t="s">
        <v>242</v>
      </c>
      <c r="G1" t="s">
        <v>129</v>
      </c>
      <c r="H1" s="11" t="s">
        <v>243</v>
      </c>
      <c r="I1" s="11" t="s">
        <v>244</v>
      </c>
      <c r="J1" s="11" t="s">
        <v>245</v>
      </c>
      <c r="K1" s="11" t="s">
        <v>246</v>
      </c>
    </row>
    <row r="2" spans="1:11" ht="30" x14ac:dyDescent="0.25">
      <c r="A2" t="s">
        <v>247</v>
      </c>
      <c r="B2" s="6" t="s">
        <v>439</v>
      </c>
      <c r="C2" s="8" t="s">
        <v>137</v>
      </c>
      <c r="D2" s="3" t="s">
        <v>254</v>
      </c>
      <c r="E2" t="s">
        <v>249</v>
      </c>
      <c r="F2" s="12" t="s">
        <v>255</v>
      </c>
      <c r="G2" t="s">
        <v>251</v>
      </c>
      <c r="H2" s="12" t="s">
        <v>256</v>
      </c>
      <c r="I2" s="12" t="s">
        <v>257</v>
      </c>
      <c r="J2" s="12" t="s">
        <v>164</v>
      </c>
      <c r="K2" s="12" t="s">
        <v>178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123</v>
      </c>
    </row>
    <row r="2" spans="1:2" x14ac:dyDescent="0.25">
      <c r="A2" s="6" t="s">
        <v>439</v>
      </c>
      <c r="B2" t="s">
        <v>258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259</v>
      </c>
      <c r="E1" t="s">
        <v>127</v>
      </c>
      <c r="F1" t="s">
        <v>129</v>
      </c>
    </row>
    <row r="2" spans="1:6" ht="30" x14ac:dyDescent="0.25">
      <c r="A2" t="s">
        <v>260</v>
      </c>
      <c r="B2" t="s">
        <v>260</v>
      </c>
      <c r="C2" s="8" t="s">
        <v>137</v>
      </c>
      <c r="D2" s="3" t="s">
        <v>261</v>
      </c>
      <c r="E2" t="s">
        <v>262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259</v>
      </c>
      <c r="D1" t="s">
        <v>127</v>
      </c>
    </row>
    <row r="2" spans="1:4" x14ac:dyDescent="0.25">
      <c r="A2" t="s">
        <v>260</v>
      </c>
      <c r="B2" t="s">
        <v>260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123</v>
      </c>
    </row>
    <row r="2" spans="1:2" x14ac:dyDescent="0.25">
      <c r="A2" t="s">
        <v>260</v>
      </c>
      <c r="B2" t="s">
        <v>124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265</v>
      </c>
      <c r="D2" t="s">
        <v>266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268</v>
      </c>
      <c r="D1" t="s">
        <v>127</v>
      </c>
    </row>
    <row r="2" spans="1:4" ht="45" x14ac:dyDescent="0.25">
      <c r="A2" t="s">
        <v>269</v>
      </c>
      <c r="B2" t="s">
        <v>264</v>
      </c>
      <c r="C2" s="3" t="s">
        <v>267</v>
      </c>
      <c r="D2" t="s">
        <v>266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269</v>
      </c>
      <c r="B2" t="s">
        <v>264</v>
      </c>
      <c r="C2" t="s">
        <v>124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C1" sqref="C1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272</v>
      </c>
      <c r="D2" t="s">
        <v>271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273</v>
      </c>
      <c r="D1" t="s">
        <v>127</v>
      </c>
    </row>
    <row r="2" spans="1:4" ht="30" x14ac:dyDescent="0.25">
      <c r="A2" t="s">
        <v>274</v>
      </c>
      <c r="B2" s="6" t="s">
        <v>331</v>
      </c>
      <c r="C2" s="3" t="s">
        <v>275</v>
      </c>
      <c r="D2" t="s">
        <v>271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G8" sqref="G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270</v>
      </c>
      <c r="B2" s="6" t="s">
        <v>331</v>
      </c>
      <c r="C2" t="s">
        <v>276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C10" sqref="C10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281</v>
      </c>
      <c r="D2" t="s">
        <v>277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278</v>
      </c>
      <c r="D1" t="s">
        <v>127</v>
      </c>
    </row>
    <row r="2" spans="1:4" ht="30" x14ac:dyDescent="0.25">
      <c r="A2" t="s">
        <v>279</v>
      </c>
      <c r="B2" t="s">
        <v>373</v>
      </c>
      <c r="C2" s="3" t="s">
        <v>280</v>
      </c>
      <c r="D2" t="s">
        <v>277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279</v>
      </c>
      <c r="B2" t="s">
        <v>373</v>
      </c>
      <c r="C2" t="s">
        <v>282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F1" sqref="F1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207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topLeftCell="E1" workbookViewId="0">
      <selection activeCell="J10" sqref="J10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290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  <c r="R1" t="s">
        <v>316</v>
      </c>
      <c r="S1" t="s">
        <v>317</v>
      </c>
      <c r="T1" t="s">
        <v>318</v>
      </c>
      <c r="U1" t="s">
        <v>318</v>
      </c>
    </row>
    <row r="2" spans="1:21" x14ac:dyDescent="0.25">
      <c r="A2" t="s">
        <v>287</v>
      </c>
      <c r="B2" t="s">
        <v>288</v>
      </c>
      <c r="C2" s="3" t="s">
        <v>313</v>
      </c>
      <c r="D2" t="s">
        <v>289</v>
      </c>
      <c r="F2" t="s">
        <v>312</v>
      </c>
      <c r="G2" t="s">
        <v>314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315</v>
      </c>
      <c r="R2" s="6" t="s">
        <v>319</v>
      </c>
      <c r="S2" s="6" t="s">
        <v>320</v>
      </c>
      <c r="T2" s="6" t="s">
        <v>319</v>
      </c>
      <c r="U2" s="6" t="s">
        <v>321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34.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328</v>
      </c>
      <c r="F2" t="s">
        <v>329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322</v>
      </c>
      <c r="D1" t="s">
        <v>133</v>
      </c>
      <c r="E1" t="s">
        <v>323</v>
      </c>
      <c r="F1" t="s">
        <v>127</v>
      </c>
    </row>
    <row r="2" spans="1:6" ht="18.75" customHeight="1" x14ac:dyDescent="0.25">
      <c r="A2" t="s">
        <v>324</v>
      </c>
      <c r="B2" t="s">
        <v>325</v>
      </c>
      <c r="C2" s="7" t="s">
        <v>326</v>
      </c>
      <c r="D2" s="7" t="s">
        <v>327</v>
      </c>
      <c r="E2" s="3" t="s">
        <v>330</v>
      </c>
      <c r="F2" t="s">
        <v>329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B2"/>
  <sheetViews>
    <sheetView workbookViewId="0">
      <selection activeCell="H16" sqref="H16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2" x14ac:dyDescent="0.25">
      <c r="A1" t="s">
        <v>67</v>
      </c>
      <c r="B1" t="s">
        <v>68</v>
      </c>
    </row>
    <row r="2" spans="1:2" x14ac:dyDescent="0.25">
      <c r="A2" t="s">
        <v>324</v>
      </c>
      <c r="B2" t="s">
        <v>325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E6" sqref="E6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127</v>
      </c>
      <c r="D1" t="s">
        <v>332</v>
      </c>
    </row>
    <row r="2" spans="1:4" x14ac:dyDescent="0.25">
      <c r="A2" t="s">
        <v>333</v>
      </c>
      <c r="B2" s="6" t="s">
        <v>334</v>
      </c>
      <c r="C2" t="s">
        <v>335</v>
      </c>
      <c r="D2" t="s">
        <v>336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O4" sqref="O4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123</v>
      </c>
    </row>
    <row r="2" spans="1:3" x14ac:dyDescent="0.25">
      <c r="A2" t="s">
        <v>333</v>
      </c>
      <c r="B2" s="6" t="s">
        <v>334</v>
      </c>
      <c r="C2" s="6" t="s">
        <v>337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O2"/>
  <sheetViews>
    <sheetView workbookViewId="0">
      <selection activeCell="F2" sqref="F2:H2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15" x14ac:dyDescent="0.25">
      <c r="A1" t="s">
        <v>338</v>
      </c>
      <c r="B1" t="s">
        <v>339</v>
      </c>
      <c r="C1" t="s">
        <v>340</v>
      </c>
      <c r="D1" t="s">
        <v>341</v>
      </c>
      <c r="E1" t="s">
        <v>342</v>
      </c>
      <c r="F1" t="s">
        <v>343</v>
      </c>
      <c r="G1" t="s">
        <v>344</v>
      </c>
      <c r="H1" t="s">
        <v>345</v>
      </c>
      <c r="I1" t="s">
        <v>346</v>
      </c>
      <c r="J1" t="s">
        <v>347</v>
      </c>
      <c r="K1" t="s">
        <v>348</v>
      </c>
      <c r="L1" t="s">
        <v>349</v>
      </c>
      <c r="M1" t="s">
        <v>350</v>
      </c>
      <c r="N1" t="s">
        <v>351</v>
      </c>
      <c r="O1" t="s">
        <v>352</v>
      </c>
    </row>
    <row r="2" spans="1:15" x14ac:dyDescent="0.25">
      <c r="A2" t="s">
        <v>353</v>
      </c>
      <c r="B2" s="10" t="s">
        <v>354</v>
      </c>
      <c r="C2" s="13" t="s">
        <v>355</v>
      </c>
      <c r="D2" s="13" t="s">
        <v>356</v>
      </c>
      <c r="E2" s="13" t="s">
        <v>357</v>
      </c>
      <c r="F2" t="s">
        <v>358</v>
      </c>
      <c r="G2" t="s">
        <v>371</v>
      </c>
      <c r="H2" t="s">
        <v>98</v>
      </c>
      <c r="I2" t="s">
        <v>359</v>
      </c>
      <c r="J2" t="s">
        <v>360</v>
      </c>
      <c r="K2" t="s">
        <v>361</v>
      </c>
      <c r="L2" t="s">
        <v>362</v>
      </c>
      <c r="M2" s="6" t="s">
        <v>321</v>
      </c>
      <c r="N2" s="6" t="s">
        <v>363</v>
      </c>
      <c r="O2" t="s">
        <v>364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K2"/>
  <sheetViews>
    <sheetView workbookViewId="0">
      <selection activeCell="F11" sqref="F11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1" x14ac:dyDescent="0.25">
      <c r="A1" t="s">
        <v>365</v>
      </c>
      <c r="B1" t="s">
        <v>366</v>
      </c>
      <c r="C1" t="s">
        <v>343</v>
      </c>
      <c r="D1" t="s">
        <v>344</v>
      </c>
      <c r="E1" t="s">
        <v>345</v>
      </c>
      <c r="F1" t="s">
        <v>346</v>
      </c>
      <c r="G1" t="s">
        <v>367</v>
      </c>
      <c r="H1" t="s">
        <v>303</v>
      </c>
      <c r="I1" t="s">
        <v>350</v>
      </c>
      <c r="J1" t="s">
        <v>351</v>
      </c>
      <c r="K1" t="s">
        <v>352</v>
      </c>
    </row>
    <row r="2" spans="1:11" x14ac:dyDescent="0.25">
      <c r="A2" s="10" t="s">
        <v>368</v>
      </c>
      <c r="B2" s="13" t="s">
        <v>369</v>
      </c>
      <c r="C2" t="s">
        <v>358</v>
      </c>
      <c r="D2" t="s">
        <v>371</v>
      </c>
      <c r="E2" t="s">
        <v>98</v>
      </c>
      <c r="F2" t="s">
        <v>359</v>
      </c>
      <c r="G2" t="s">
        <v>361</v>
      </c>
      <c r="H2" t="s">
        <v>370</v>
      </c>
      <c r="I2" s="6" t="s">
        <v>321</v>
      </c>
      <c r="J2" s="6" t="s">
        <v>363</v>
      </c>
      <c r="K2" t="s">
        <v>364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F1" sqref="A1:XFD1048576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388</v>
      </c>
      <c r="F2" t="s">
        <v>389</v>
      </c>
      <c r="G2" t="s">
        <v>390</v>
      </c>
      <c r="H2" t="s">
        <v>391</v>
      </c>
      <c r="I2" t="s">
        <v>393</v>
      </c>
      <c r="J2" t="s">
        <v>395</v>
      </c>
      <c r="K2" t="s">
        <v>397</v>
      </c>
      <c r="L2" t="s">
        <v>399</v>
      </c>
      <c r="M2" t="s">
        <v>401</v>
      </c>
      <c r="N2" t="s">
        <v>406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380</v>
      </c>
      <c r="D1" t="s">
        <v>381</v>
      </c>
      <c r="E1" t="s">
        <v>382</v>
      </c>
      <c r="F1" t="s">
        <v>383</v>
      </c>
      <c r="G1" t="s">
        <v>384</v>
      </c>
      <c r="H1" t="s">
        <v>385</v>
      </c>
      <c r="I1" t="s">
        <v>392</v>
      </c>
      <c r="J1" t="s">
        <v>394</v>
      </c>
      <c r="K1" t="s">
        <v>396</v>
      </c>
      <c r="L1" t="s">
        <v>398</v>
      </c>
      <c r="M1" t="s">
        <v>400</v>
      </c>
      <c r="N1" t="s">
        <v>402</v>
      </c>
      <c r="O1" t="s">
        <v>403</v>
      </c>
    </row>
    <row r="2" spans="1:16" x14ac:dyDescent="0.25">
      <c r="A2" t="s">
        <v>405</v>
      </c>
      <c r="B2" t="s">
        <v>379</v>
      </c>
      <c r="C2" t="s">
        <v>386</v>
      </c>
      <c r="D2" t="s">
        <v>387</v>
      </c>
      <c r="E2" t="s">
        <v>407</v>
      </c>
      <c r="F2" t="s">
        <v>389</v>
      </c>
      <c r="G2" t="s">
        <v>390</v>
      </c>
      <c r="H2" t="s">
        <v>408</v>
      </c>
      <c r="I2" t="s">
        <v>393</v>
      </c>
      <c r="J2" t="s">
        <v>395</v>
      </c>
      <c r="K2" t="s">
        <v>409</v>
      </c>
      <c r="L2" t="s">
        <v>399</v>
      </c>
      <c r="M2" t="s">
        <v>401</v>
      </c>
      <c r="N2" t="s">
        <v>410</v>
      </c>
      <c r="O2" t="s">
        <v>404</v>
      </c>
      <c r="P2" t="s">
        <v>404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411</v>
      </c>
      <c r="B1" t="s">
        <v>412</v>
      </c>
      <c r="C1" t="s">
        <v>413</v>
      </c>
      <c r="D1" t="s">
        <v>414</v>
      </c>
      <c r="E1" t="s">
        <v>415</v>
      </c>
      <c r="F1" t="s">
        <v>416</v>
      </c>
      <c r="G1" t="s">
        <v>419</v>
      </c>
      <c r="H1" t="s">
        <v>420</v>
      </c>
      <c r="I1" t="s">
        <v>421</v>
      </c>
      <c r="J1" t="s">
        <v>422</v>
      </c>
      <c r="K1" t="s">
        <v>423</v>
      </c>
      <c r="L1" t="s">
        <v>429</v>
      </c>
    </row>
    <row r="2" spans="1:12" x14ac:dyDescent="0.25">
      <c r="A2" s="7" t="s">
        <v>427</v>
      </c>
      <c r="B2" s="8" t="str">
        <f ca="1">TEXT(TODAY(), "DD/MM/YYYY")</f>
        <v>09/06/2025</v>
      </c>
      <c r="C2" t="s">
        <v>417</v>
      </c>
      <c r="D2" t="s">
        <v>418</v>
      </c>
      <c r="E2" t="s">
        <v>307</v>
      </c>
      <c r="F2" t="s">
        <v>117</v>
      </c>
      <c r="H2" t="s">
        <v>424</v>
      </c>
      <c r="I2" t="s">
        <v>425</v>
      </c>
      <c r="J2" t="s">
        <v>426</v>
      </c>
      <c r="K2" t="s">
        <v>428</v>
      </c>
      <c r="L2" t="s">
        <v>430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3" sqref="C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4" t="s">
        <v>123</v>
      </c>
      <c r="D1" t="s">
        <v>127</v>
      </c>
      <c r="E1" t="s">
        <v>291</v>
      </c>
      <c r="F1" t="s">
        <v>292</v>
      </c>
      <c r="G1" t="s">
        <v>293</v>
      </c>
      <c r="H1" t="s">
        <v>294</v>
      </c>
      <c r="I1" t="s">
        <v>295</v>
      </c>
      <c r="J1" t="s">
        <v>296</v>
      </c>
      <c r="K1" t="s">
        <v>297</v>
      </c>
      <c r="L1" t="s">
        <v>298</v>
      </c>
      <c r="M1" t="s">
        <v>299</v>
      </c>
      <c r="N1" t="s">
        <v>300</v>
      </c>
      <c r="O1" t="s">
        <v>301</v>
      </c>
      <c r="P1" t="s">
        <v>302</v>
      </c>
      <c r="Q1" t="s">
        <v>303</v>
      </c>
    </row>
    <row r="2" spans="1:17" x14ac:dyDescent="0.25">
      <c r="A2" t="s">
        <v>287</v>
      </c>
      <c r="B2" t="s">
        <v>288</v>
      </c>
      <c r="C2" s="3" t="s">
        <v>258</v>
      </c>
      <c r="D2" t="s">
        <v>289</v>
      </c>
      <c r="F2" t="s">
        <v>312</v>
      </c>
      <c r="G2" t="s">
        <v>311</v>
      </c>
      <c r="H2" t="s">
        <v>132</v>
      </c>
      <c r="I2" t="s">
        <v>100</v>
      </c>
      <c r="J2" s="6" t="s">
        <v>310</v>
      </c>
      <c r="K2" t="s">
        <v>98</v>
      </c>
      <c r="L2" s="6" t="s">
        <v>309</v>
      </c>
      <c r="M2" s="6" t="s">
        <v>308</v>
      </c>
      <c r="N2" t="s">
        <v>307</v>
      </c>
      <c r="O2" t="s">
        <v>306</v>
      </c>
      <c r="P2" t="s">
        <v>305</v>
      </c>
      <c r="Q2" t="s">
        <v>304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61</vt:i4>
      </vt:variant>
    </vt:vector>
  </HeadingPairs>
  <TitlesOfParts>
    <vt:vector size="61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AddCarePlan</vt:lpstr>
      <vt:lpstr>EditCarePlan</vt:lpstr>
      <vt:lpstr>DeleteCarePlan</vt:lpstr>
      <vt:lpstr>Alerts</vt:lpstr>
      <vt:lpstr>DeleteInvestigation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2025-06-09T16:36:32Z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