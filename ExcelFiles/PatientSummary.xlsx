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Riomed\Cellma4ClinicalAuto\ExcelFiles\"/>
    </mc:Choice>
  </mc:AlternateContent>
  <xr:revisionPtr revIDLastSave="0" documentId="13_ncr:1_{AE322496-E374-4DE8-9399-6A626D1618CF}" xr6:coauthVersionLast="47" xr6:coauthVersionMax="47" xr10:uidLastSave="{00000000-0000-0000-0000-000000000000}"/>
  <bookViews>
    <workbookView xWindow="-110" yWindow="-110" windowWidth="22780" windowHeight="14540" firstSheet="63" activeTab="69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  <sheet name="AddPatientConsent" sheetId="70" r:id="rId69"/>
    <sheet name="EditPatientConsent" sheetId="71" r:id="rId7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 l="1"/>
  <c r="K2" i="65"/>
  <c r="I2" i="65"/>
  <c r="G2" i="65"/>
  <c r="M2" i="64"/>
  <c r="J2" i="64"/>
  <c r="H2" i="64"/>
  <c r="F2" i="64"/>
  <c r="B2" i="6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<sst xmlns="http://schemas.openxmlformats.org/spreadsheetml/2006/main" count="1301" uniqueCount="658">
  <si>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</si>
  <si>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</si>
  <si>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</si>
  <si>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</si>
  <si>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</si>
  <si>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</si>
  <si>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</si>
  <si>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</si>
  <si>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</si>
  <si>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</si>
  <si>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</si>
  <si>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</si>
  <si>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</si>
  <si>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</si>
  <si>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</si>
  <si>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</si>
  <si>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</si>
  <si>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</si>
  <si>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</si>
  <si>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</si>
  <si>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</si>
  <si>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</si>
  <si>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</si>
  <si>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</si>
  <si>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</si>
  <si>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</si>
  <si>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</si>
  <si>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</si>
  <si>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</si>
  <si>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</si>
  <si>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</si>
  <si>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</si>
  <si>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</si>
  <si>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</si>
  <si>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</si>
  <si>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</si>
  <si>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</si>
  <si>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</si>
  <si>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</si>
  <si>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</si>
  <si>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</si>
  <si>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</si>
  <si>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</si>
  <si>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</si>
  <si>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</si>
  <si>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</si>
  <si>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</si>
  <si>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</si>
  <si>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</si>
  <si>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</si>
  <si>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</si>
  <si>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</si>
  <si>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</si>
  <si>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</si>
  <si>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</si>
  <si>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</si>
  <si>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</si>
  <si>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</si>
  <si>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</si>
  <si>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</si>
  <si>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</si>
  <si>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</si>
  <si>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</si>
  <si>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</si>
  <si>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</si>
  <si>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</si>
  <si>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</si>
  <si>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</si>
  <si>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</si>
  <si>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</si>
  <si>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</si>
  <si>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</si>
  <si>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</si>
  <si>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</si>
  <si>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</si>
  <si>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</si>
  <si>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</si>
  <si>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</si>
  <si>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</si>
  <si>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</si>
  <si>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</si>
  <si>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</si>
  <si>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</si>
  <si>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</si>
  <si>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</si>
  <si>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</si>
  <si>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</si>
  <si>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</si>
  <si>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</si>
  <si>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</si>
  <si>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</si>
  <si>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</si>
  <si>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</si>
  <si>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</si>
  <si>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</si>
  <si>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</si>
  <si>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</si>
  <si>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</si>
  <si>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</si>
  <si>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</si>
  <si>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</si>
  <si>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</si>
  <si>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</si>
  <si>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</si>
  <si>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</si>
  <si>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</si>
  <si>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</si>
  <si>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</si>
  <si>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</si>
  <si>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</si>
  <si>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</si>
  <si>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</si>
  <si>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</si>
  <si>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</si>
  <si>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</si>
  <si>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</si>
  <si>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</si>
  <si>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</si>
  <si>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</si>
  <si>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</si>
  <si>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</si>
  <si>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</si>
  <si>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</si>
  <si>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</si>
  <si>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</si>
  <si>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</si>
  <si>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</si>
  <si>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</si>
  <si>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</si>
  <si>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</si>
  <si>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</si>
  <si>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</si>
  <si>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</si>
  <si>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</si>
  <si>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</si>
  <si>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</si>
  <si>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</si>
  <si>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</si>
  <si>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</si>
  <si>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</si>
  <si>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</si>
  <si>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</si>
  <si>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</si>
  <si>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</si>
  <si>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</si>
  <si>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</si>
  <si>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</si>
  <si>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</si>
  <si>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</si>
  <si>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</si>
  <si>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</si>
  <si>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</si>
  <si>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</si>
  <si>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</si>
  <si>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</si>
  <si>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</si>
  <si>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</si>
  <si>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</si>
  <si>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</si>
  <si>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</si>
  <si>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</si>
  <si>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</si>
  <si>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</si>
  <si>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</si>
  <si>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</si>
  <si>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</si>
  <si>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</si>
  <si>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</si>
  <si>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</si>
  <si>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</si>
  <si>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</si>
  <si>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</si>
  <si>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</si>
  <si>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</si>
  <si>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</si>
  <si>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</si>
  <si>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</si>
  <si>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</si>
  <si>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</si>
  <si>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</si>
  <si>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</si>
  <si>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</si>
  <si>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</si>
  <si>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</si>
  <si>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</si>
  <si>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</si>
  <si>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</si>
  <si>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</si>
  <si>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</si>
  <si>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</si>
  <si>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</si>
  <si>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</si>
  <si>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</si>
  <si>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</si>
  <si>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</si>
  <si>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</si>
  <si>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</si>
  <si>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</si>
  <si>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</si>
  <si>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</si>
  <si>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</si>
  <si>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</si>
  <si>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</si>
  <si>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</si>
  <si>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</si>
  <si>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</si>
  <si>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</si>
  <si>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</si>
  <si>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</si>
  <si>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</si>
  <si>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</si>
  <si>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</si>
  <si>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</si>
  <si>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</si>
  <si>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</si>
  <si>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</si>
  <si>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</si>
  <si>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</si>
  <si>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</si>
  <si>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</si>
  <si>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</si>
  <si>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</si>
  <si>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</si>
  <si>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</si>
  <si>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</si>
  <si>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</si>
  <si>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</si>
  <si>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</si>
  <si>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</si>
  <si>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</si>
  <si>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</si>
  <si>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</si>
  <si>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</si>
  <si>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</si>
  <si>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</si>
  <si>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</si>
  <si>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</si>
  <si>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</si>
  <si>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</si>
  <si>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</si>
  <si>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</si>
  <si>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</si>
  <si>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</si>
  <si>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</si>
  <si>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</si>
  <si>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</si>
  <si>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</si>
  <si>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</si>
  <si>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</si>
  <si>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</si>
  <si>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</si>
  <si>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</si>
  <si>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</si>
  <si>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</si>
  <si>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</si>
  <si>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</si>
  <si>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</si>
  <si>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</si>
  <si>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</si>
  <si>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</si>
  <si>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</si>
  <si>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</si>
  <si>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</si>
  <si>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</si>
  <si>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</si>
  <si>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</si>
  <si>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</si>
  <si>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</si>
  <si>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</si>
  <si>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</si>
  <si>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</si>
  <si>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</si>
  <si>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</si>
  <si>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</si>
  <si>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</si>
  <si>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</si>
  <si>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</si>
  <si>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</si>
  <si>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</si>
  <si>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</si>
  <si>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</si>
  <si>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</si>
  <si>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</si>
  <si>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</si>
  <si>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</si>
  <si>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</si>
  <si>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</si>
  <si>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</si>
  <si>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</si>
  <si>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</si>
  <si>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</si>
  <si>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</si>
  <si>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</si>
  <si>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</si>
  <si>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</si>
  <si>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</si>
  <si>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</si>
  <si>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</si>
  <si>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</si>
  <si>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</si>
  <si>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</si>
  <si>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</si>
  <si>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</si>
  <si>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</si>
  <si>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</si>
  <si>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</si>
  <si>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</si>
  <si>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</si>
  <si>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</si>
  <si>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</si>
  <si>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</si>
  <si>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</si>
  <si>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</si>
  <si>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</si>
  <si>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</si>
  <si>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</si>
  <si>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</si>
  <si>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</si>
  <si>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</si>
  <si>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</si>
  <si>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</si>
  <si>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</si>
  <si>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</si>
  <si>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</si>
  <si>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</si>
  <si>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</si>
  <si>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</si>
  <si>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</si>
  <si>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</si>
  <si>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</si>
  <si>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</si>
  <si>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</si>
  <si>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</si>
  <si>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</si>
  <si>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</si>
  <si>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</si>
  <si>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</si>
  <si>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</si>
  <si>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</si>
  <si>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</si>
  <si>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</si>
  <si>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</si>
  <si>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</si>
  <si>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</si>
  <si>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</si>
  <si>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</si>
  <si>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</si>
  <si>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</si>
  <si>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</si>
  <si>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</si>
  <si>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</si>
  <si>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</si>
  <si>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</si>
  <si>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</si>
  <si>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</si>
  <si>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</si>
  <si>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</si>
  <si>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</si>
  <si>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</si>
  <si>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</si>
  <si>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</si>
  <si>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</si>
  <si>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</si>
  <si>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</si>
  <si>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</si>
  <si>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</si>
  <si>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</si>
  <si>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</si>
  <si>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</si>
  <si>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</si>
  <si>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</si>
  <si>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</si>
  <si>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</si>
  <si>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</si>
  <si>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</si>
  <si>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</si>
  <si>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</si>
  <si>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</si>
  <si>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href05Reco271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</si>
  <si>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</si>
  <si>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</si>
  <si>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</si>
  <si>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</si>
  <si>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</si>
  <si>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</si>
  <si>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</si>
  <si>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</si>
  <si>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</si>
  <si>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</si>
  <si>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</si>
  <si>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</si>
  <si>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</si>
  <si>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</si>
  <si>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</si>
  <si>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</si>
  <si>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</si>
  <si>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</si>
  <si>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</si>
  <si>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</si>
  <si>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</si>
  <si>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</si>
  <si>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</si>
  <si>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</si>
  <si>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</si>
  <si>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</si>
  <si>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</si>
  <si>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</si>
  <si>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</si>
  <si>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</si>
  <si>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</si>
  <si>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</si>
  <si>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</si>
  <si>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</si>
  <si>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</si>
  <si>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</si>
  <si>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</si>
  <si>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</si>
  <si>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</si>
  <si>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</si>
  <si>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</si>
  <si>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</si>
  <si>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</si>
  <si>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</si>
  <si>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</si>
  <si>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</si>
  <si>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</si>
  <si>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</si>
  <si>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</si>
  <si>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</si>
  <si>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</si>
  <si>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</si>
  <si>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</si>
  <si>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Assessment</t>
  </si>
  <si>
    <t>Patient</t>
  </si>
  <si>
    <t>01/01/1990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</si>
  <si>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</si>
  <si>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</si>
  <si>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</si>
  <si>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</si>
  <si>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</si>
  <si>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</si>
  <si>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</si>
  <si>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</si>
  <si>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</si>
  <si>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</si>
  <si>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</si>
  <si>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</si>
  <si>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</si>
  <si>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</si>
  <si>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</si>
  <si>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</si>
  <si>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</si>
  <si>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</si>
  <si>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</si>
  <si>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</si>
  <si>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</si>
  <si>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</si>
  <si>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</si>
  <si>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</si>
  <si>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</si>
  <si>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</si>
  <si>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</si>
  <si>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</si>
  <si>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</si>
  <si>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</si>
  <si>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</si>
  <si>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</si>
  <si>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</si>
  <si>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</si>
  <si>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</si>
  <si>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</si>
  <si>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</si>
  <si>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</si>
  <si>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</si>
  <si>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</si>
  <si>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</si>
  <si>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</si>
  <si>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</si>
  <si>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</si>
  <si>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pat_sex_at_birth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</si>
  <si>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</si>
  <si>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</si>
  <si>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</si>
  <si>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</si>
  <si>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</si>
  <si>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</si>
  <si>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</si>
  <si>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</si>
  <si>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</si>
  <si>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</si>
  <si>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</si>
  <si>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</si>
  <si>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</si>
  <si>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</si>
  <si>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</si>
  <si>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</si>
  <si>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</si>
  <si>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</si>
  <si>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</si>
  <si>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</si>
  <si>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</si>
  <si>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</si>
  <si>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</si>
  <si>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</si>
  <si>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</si>
  <si>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</si>
  <si>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</si>
  <si>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</si>
  <si>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</si>
  <si>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</si>
  <si>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</si>
  <si>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</si>
  <si>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</si>
  <si>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</si>
  <si>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</si>
  <si>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</si>
  <si>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</si>
  <si>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</si>
  <si>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</si>
  <si>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</si>
  <si>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</si>
  <si>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</si>
  <si>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</si>
  <si>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</si>
  <si>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</si>
  <si>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</si>
  <si>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</si>
  <si>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</si>
  <si>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</si>
  <si>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</si>
  <si>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</si>
  <si>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</si>
  <si>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</si>
  <si>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</si>
  <si>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</si>
  <si>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medadt_medication_status</t>
  </si>
  <si>
    <t>given</t>
  </si>
  <si>
    <t>medi_notes_hidden</t>
  </si>
  <si>
    <t>thayne.auto</t>
  </si>
  <si>
    <t>Thayne@2024</t>
  </si>
  <si>
    <t>pattod_var_value_0</t>
  </si>
  <si>
    <t>pattod_var_value_1</t>
  </si>
  <si>
    <t>pattod_var_value_2</t>
  </si>
  <si>
    <t>pattod_var_value_3</t>
  </si>
  <si>
    <t>pattod_var_value_4</t>
  </si>
  <si>
    <t>patto_notes</t>
  </si>
  <si>
    <t>Audiogram Tool</t>
  </si>
  <si>
    <t>DAS 28 Examination Tool</t>
  </si>
  <si>
    <t>DAS Examination notes</t>
  </si>
  <si>
    <t>33</t>
  </si>
  <si>
    <t>87</t>
  </si>
  <si>
    <t>pattom_notes</t>
  </si>
  <si>
    <t>Patient marker functionality test</t>
  </si>
  <si>
    <t>DAS28</t>
  </si>
  <si>
    <t>clinicItem</t>
  </si>
  <si>
    <t>09/05/2025</t>
  </si>
  <si>
    <t>patto_review_date</t>
  </si>
  <si>
    <t>patto_last_reviewed</t>
  </si>
  <si>
    <t>Delete Tool</t>
  </si>
  <si>
    <t>75</t>
  </si>
  <si>
    <t>67</t>
  </si>
  <si>
    <t>42</t>
  </si>
  <si>
    <t>6</t>
  </si>
  <si>
    <t>Edit tool test</t>
  </si>
  <si>
    <t>DAS78</t>
  </si>
  <si>
    <t>DAS 78 New tool</t>
  </si>
  <si>
    <t>DAS 78 Examination Tool</t>
  </si>
  <si>
    <t>Patient marker for DAS 78</t>
  </si>
  <si>
    <t>11</t>
  </si>
  <si>
    <t>18</t>
  </si>
  <si>
    <t>DAS 78 Edit Tool</t>
  </si>
  <si>
    <t>09/05/2026</t>
  </si>
  <si>
    <t>VRA</t>
  </si>
  <si>
    <t>Pure tone</t>
  </si>
  <si>
    <t>Reliability Air Conduction</t>
  </si>
  <si>
    <t>Headphones</t>
  </si>
  <si>
    <t>Play Audiometry</t>
  </si>
  <si>
    <t>Warble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</si>
  <si>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</si>
  <si>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</si>
  <si>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</si>
  <si>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</si>
  <si>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</si>
  <si>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</si>
  <si>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</si>
  <si>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</si>
  <si>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</si>
  <si>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</si>
  <si>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</si>
  <si>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</si>
  <si>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</si>
  <si>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</si>
  <si>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patto_notes_0</t>
  </si>
  <si>
    <t>patto_notes_1</t>
  </si>
  <si>
    <t>patto_notes_2</t>
  </si>
  <si>
    <t>patto_notes_3</t>
  </si>
  <si>
    <t>Notes on Air Conduction</t>
  </si>
  <si>
    <t>Notes on Bone Conduction</t>
  </si>
  <si>
    <t>Notes on Unaided Soundfield</t>
  </si>
  <si>
    <t>Notes on Aided Soundfield</t>
  </si>
  <si>
    <t>Reliability Bone Conduction</t>
  </si>
  <si>
    <t>Edit  Air Conduction</t>
  </si>
  <si>
    <t>Edit Bone Conduction</t>
  </si>
  <si>
    <t>Edit Unaided Soundfield</t>
  </si>
  <si>
    <t>Edit Aided Soundfield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</si>
  <si>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</si>
  <si>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</si>
  <si>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</si>
  <si>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</si>
  <si>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</si>
  <si>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</si>
  <si>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</si>
  <si>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</si>
  <si>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</si>
  <si>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</si>
  <si>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</si>
  <si>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</si>
  <si>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</si>
  <si>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</si>
  <si>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</si>
  <si>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</si>
  <si>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</si>
  <si>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</si>
  <si>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</si>
  <si>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</si>
  <si>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</si>
  <si>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Wednesday Tester</t>
  </si>
  <si>
    <t>Contact by Email</t>
  </si>
  <si>
    <t>Given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</si>
  <si>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</si>
  <si>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</si>
  <si>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</si>
  <si>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</si>
  <si>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</si>
  <si>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</si>
  <si>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</si>
  <si>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</si>
  <si>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</si>
  <si>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</si>
  <si>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</si>
  <si>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medi_form</t>
  </si>
  <si>
    <t>tablet</t>
  </si>
  <si>
    <t>01/04/2025</t>
  </si>
  <si>
    <t>pac_consent_details_json</t>
  </si>
  <si>
    <t>Record edit test</t>
  </si>
  <si>
    <t>Withdrawn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</si>
  <si>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</si>
  <si>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</si>
  <si>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</si>
  <si>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</si>
  <si>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</si>
  <si>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</si>
  <si>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</si>
  <si>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pac_withdraw_date</t>
  </si>
  <si>
    <t>01/05/2025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</si>
  <si>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</si>
  <si>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</si>
  <si>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pac_consent_status_input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</si>
</sst>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B2" sqref="B2"/>
    </sheetView>
  </sheetViews>
  <sheetFormatPr defaultRowHeight="14.5" x14ac:dyDescent="0.35"/>
  <cols>
    <col min="1" max="1" width="21.1796875" customWidth="1"/>
    <col min="2" max="2" width="17.54296875" customWidth="1"/>
  </cols>
  <sheetData>
    <row r="1" spans="1:2" x14ac:dyDescent="0.35">
      <c r="A1" t="s">
        <v>0</v>
      </c>
      <c r="B1" t="s">
        <v>1</v>
      </c>
    </row>
    <row r="2" spans="1:2" x14ac:dyDescent="0.35">
      <c r="A2" t="s">
        <v>538</v>
      </c>
      <c r="B2" s="1" t="s">
        <v>539</v>
      </c>
    </row>
    <row r="3" spans="1:2" x14ac:dyDescent="0.35">
      <c r="A3" t="s">
        <v>283</v>
      </c>
      <c r="B3" s="1" t="s">
        <v>437</v>
      </c>
    </row>
    <row r="4" spans="1:2" x14ac:dyDescent="0.35">
      <c r="A4" t="s">
        <v>375</v>
      </c>
      <c r="B4" s="1" t="s">
        <v>376</v>
      </c>
    </row>
  </sheetData>
  <hyperlinks>
    <hyperlink ref="B3" r:id="rId1" xr:uid="{0C05B6B9-5554-4DE8-9F6A-6002C7FF4022}"/>
    <hyperlink ref="B4" r:id="rId2" xr:uid="{03C77328-BA61-4FC6-A325-FBFA15AC6C52}"/>
    <hyperlink ref="B2" r:id="rId3" xr:uid="{93D54D70-B776-425E-A1AB-5F66698FEC3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W2"/>
  <sheetViews>
    <sheetView workbookViewId="0">
      <selection activeCell="I1" sqref="I1"/>
    </sheetView>
  </sheetViews>
  <sheetFormatPr defaultRowHeight="14.5" x14ac:dyDescent="0.35"/>
  <cols>
    <col min="1" max="1" width="18.36328125" bestFit="1" customWidth="1"/>
    <col min="2" max="2" width="14.6328125" bestFit="1" customWidth="1"/>
    <col min="3" max="3" width="10.90625" bestFit="1" customWidth="1"/>
    <col min="4" max="4" width="12.08984375" bestFit="1" customWidth="1"/>
    <col min="5" max="5" width="7.7265625" bestFit="1" customWidth="1"/>
    <col min="6" max="6" width="12.54296875" bestFit="1" customWidth="1"/>
    <col min="7" max="7" width="11.90625" bestFit="1" customWidth="1"/>
    <col min="8" max="8" width="7.26953125" bestFit="1" customWidth="1"/>
    <col min="9" max="9" width="15" bestFit="1" customWidth="1"/>
    <col min="10" max="10" width="10.453125" bestFit="1" customWidth="1"/>
    <col min="11" max="11" width="16.54296875" bestFit="1" customWidth="1"/>
    <col min="12" max="12" width="15.90625" bestFit="1" customWidth="1"/>
    <col min="13" max="13" width="13.81640625" bestFit="1" customWidth="1"/>
    <col min="14" max="14" width="9.1796875" bestFit="1" customWidth="1"/>
    <col min="15" max="15" width="8.1796875" bestFit="1" customWidth="1"/>
    <col min="16" max="16" width="9.54296875" bestFit="1" customWidth="1"/>
    <col min="17" max="17" width="16.6328125" bestFit="1" customWidth="1"/>
    <col min="18" max="18" width="16.54296875" bestFit="1" customWidth="1"/>
    <col min="19" max="19" width="15.36328125" bestFit="1" customWidth="1"/>
    <col min="20" max="20" width="10.7265625" bestFit="1" customWidth="1"/>
    <col min="21" max="21" width="19.90625" bestFit="1" customWidth="1"/>
    <col min="22" max="22" width="15.08984375" bestFit="1" customWidth="1"/>
    <col min="23" max="23" width="24.90625" bestFit="1" customWidth="1"/>
    <col min="24" max="24" width="21.1796875" bestFit="1" customWidth="1"/>
    <col min="25" max="25" width="24.54296875" bestFit="1" customWidth="1"/>
    <col min="26" max="26" width="20.7265625" bestFit="1" customWidth="1"/>
    <col min="27" max="27" width="12" bestFit="1" customWidth="1"/>
    <col min="28" max="28" width="11.90625" bestFit="1" customWidth="1"/>
    <col min="29" max="29" width="21.54296875" bestFit="1" customWidth="1"/>
    <col min="30" max="30" width="23.54296875" bestFit="1" customWidth="1"/>
    <col min="31" max="31" width="20.54296875" bestFit="1" customWidth="1"/>
    <col min="32" max="32" width="7.1796875" bestFit="1" customWidth="1"/>
    <col min="33" max="33" width="14.453125" bestFit="1" customWidth="1"/>
    <col min="34" max="34" width="8.26953125" bestFit="1" customWidth="1"/>
    <col min="35" max="35" width="16.08984375" bestFit="1" customWidth="1"/>
    <col min="36" max="36" width="18.81640625" bestFit="1" customWidth="1"/>
    <col min="37" max="37" width="18.1796875" bestFit="1" customWidth="1"/>
    <col min="38" max="38" width="11.6328125" bestFit="1" customWidth="1"/>
    <col min="39" max="39" width="28.36328125" bestFit="1" customWidth="1"/>
    <col min="40" max="40" width="13.453125" bestFit="1" customWidth="1"/>
    <col min="41" max="41" width="11.81640625" bestFit="1" customWidth="1"/>
    <col min="42" max="42" width="15.36328125" bestFit="1" customWidth="1"/>
    <col min="43" max="43" width="11.54296875" bestFit="1" customWidth="1"/>
    <col min="44" max="44" width="18.08984375" bestFit="1" customWidth="1"/>
    <col min="45" max="45" width="16.6328125" bestFit="1" customWidth="1"/>
    <col min="46" max="46" width="15.54296875" bestFit="1" customWidth="1"/>
    <col min="47" max="47" width="30.54296875" bestFit="1" customWidth="1"/>
    <col min="48" max="48" width="27.54296875" bestFit="1" customWidth="1"/>
    <col min="49" max="49" width="16.81640625" bestFit="1" customWidth="1"/>
  </cols>
  <sheetData>
    <row r="1" spans="1:49" s="2" customFormat="1" x14ac:dyDescent="0.3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479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39</v>
      </c>
      <c r="AN1" t="s">
        <v>40</v>
      </c>
      <c r="AO1" t="s">
        <v>41</v>
      </c>
      <c r="AP1" t="s">
        <v>42</v>
      </c>
      <c r="AQ1" t="s">
        <v>43</v>
      </c>
      <c r="AR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</row>
    <row r="2" spans="1:49" s="2" customFormat="1" ht="43.5" x14ac:dyDescent="0.35">
      <c r="B2" s="3" t="s">
        <v>378</v>
      </c>
      <c r="E2" s="3" t="s">
        <v>201</v>
      </c>
      <c r="F2" s="3" t="s">
        <v>432</v>
      </c>
      <c r="G2" s="3" t="s">
        <v>433</v>
      </c>
      <c r="H2" s="3" t="s">
        <v>50</v>
      </c>
      <c r="I2" s="3" t="s">
        <v>443</v>
      </c>
      <c r="J2" s="4" t="s">
        <v>434</v>
      </c>
      <c r="K2" s="2" t="s">
        <v>51</v>
      </c>
      <c r="L2" s="2" t="s">
        <v>52</v>
      </c>
      <c r="M2" s="2" t="s">
        <v>53</v>
      </c>
      <c r="N2" s="3" t="s">
        <v>54</v>
      </c>
      <c r="O2" s="2" t="s">
        <v>55</v>
      </c>
      <c r="Q2" s="3" t="s">
        <v>56</v>
      </c>
      <c r="S2" s="2" t="s">
        <v>57</v>
      </c>
      <c r="T2" s="3" t="s">
        <v>58</v>
      </c>
      <c r="V2" s="3" t="s">
        <v>59</v>
      </c>
      <c r="W2" s="3" t="s">
        <v>60</v>
      </c>
      <c r="X2" s="2">
        <v>0</v>
      </c>
      <c r="Y2" s="3" t="s">
        <v>60</v>
      </c>
      <c r="Z2" s="2">
        <v>0</v>
      </c>
      <c r="AA2" s="3" t="s">
        <v>61</v>
      </c>
      <c r="AC2" s="5" t="s">
        <v>62</v>
      </c>
      <c r="AJ2" s="3" t="s">
        <v>63</v>
      </c>
      <c r="AK2" s="3" t="s">
        <v>50</v>
      </c>
      <c r="AN2" s="3" t="s">
        <v>52</v>
      </c>
      <c r="AP2" t="s">
        <v>60</v>
      </c>
      <c r="AR2" s="3" t="s">
        <v>64</v>
      </c>
      <c r="AS2" s="2" t="s">
        <v>56</v>
      </c>
      <c r="AV2" s="3" t="s">
        <v>65</v>
      </c>
      <c r="AW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/>
  </sheetViews>
  <sheetFormatPr defaultRowHeight="14.5" x14ac:dyDescent="0.35"/>
  <cols>
    <col min="1" max="1" width="12.81640625" bestFit="1" customWidth="1"/>
    <col min="2" max="2" width="40.6328125" bestFit="1" customWidth="1"/>
    <col min="3" max="3" width="10.36328125" bestFit="1" customWidth="1"/>
    <col min="4" max="4" width="10.36328125" customWidth="1"/>
    <col min="5" max="5" width="15" bestFit="1" customWidth="1"/>
    <col min="6" max="6" width="13.08984375" bestFit="1" customWidth="1"/>
    <col min="7" max="7" width="10.90625" bestFit="1" customWidth="1"/>
    <col min="8" max="8" width="13.6328125" bestFit="1" customWidth="1"/>
    <col min="9" max="9" width="12.6328125" bestFit="1" customWidth="1"/>
    <col min="10" max="10" width="15" bestFit="1" customWidth="1"/>
    <col min="11" max="11" width="14.81640625" bestFit="1" customWidth="1"/>
    <col min="12" max="12" width="10.453125" bestFit="1" customWidth="1"/>
    <col min="13" max="13" width="8.453125" bestFit="1" customWidth="1"/>
    <col min="14" max="14" width="15.08984375" bestFit="1" customWidth="1"/>
    <col min="15" max="15" width="18.54296875" bestFit="1" customWidth="1"/>
    <col min="16" max="16" width="17.1796875" bestFit="1" customWidth="1"/>
    <col min="17" max="17" width="23.81640625" bestFit="1" customWidth="1"/>
    <col min="18" max="18" width="21.26953125" bestFit="1" customWidth="1"/>
    <col min="19" max="19" width="27.90625" bestFit="1" customWidth="1"/>
    <col min="20" max="20" width="10.6328125" bestFit="1" customWidth="1"/>
    <col min="21" max="21" width="18.54296875" bestFit="1" customWidth="1"/>
    <col min="22" max="22" width="10.1796875" bestFit="1" customWidth="1"/>
    <col min="23" max="23" width="32.26953125" bestFit="1" customWidth="1"/>
    <col min="24" max="24" width="25.7265625" bestFit="1" customWidth="1"/>
    <col min="25" max="25" width="17.26953125" bestFit="1" customWidth="1"/>
    <col min="26" max="26" width="23.453125" bestFit="1" customWidth="1"/>
    <col min="27" max="27" width="17.26953125" bestFit="1" customWidth="1"/>
    <col min="28" max="28" width="21.26953125" bestFit="1" customWidth="1"/>
    <col min="29" max="29" width="23.453125" bestFit="1" customWidth="1"/>
    <col min="30" max="30" width="21.90625" bestFit="1" customWidth="1"/>
    <col min="31" max="31" width="11.81640625" bestFit="1" customWidth="1"/>
    <col min="32" max="32" width="19.6328125" bestFit="1" customWidth="1"/>
    <col min="33" max="33" width="14.26953125" bestFit="1" customWidth="1"/>
  </cols>
  <sheetData>
    <row r="1" spans="1:34" x14ac:dyDescent="0.35">
      <c r="A1" t="s">
        <v>67</v>
      </c>
      <c r="B1" t="s">
        <v>68</v>
      </c>
      <c r="C1" t="s">
        <v>69</v>
      </c>
      <c r="D1" t="s">
        <v>640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179</v>
      </c>
      <c r="R1" t="s">
        <v>537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127</v>
      </c>
      <c r="AF1" t="s">
        <v>181</v>
      </c>
      <c r="AG1" t="s">
        <v>202</v>
      </c>
      <c r="AH1" t="s">
        <v>535</v>
      </c>
    </row>
    <row r="2" spans="1:34" x14ac:dyDescent="0.35">
      <c r="A2" t="s">
        <v>223</v>
      </c>
      <c r="B2" t="s">
        <v>438</v>
      </c>
      <c r="C2" s="6" t="s">
        <v>82</v>
      </c>
      <c r="D2" s="6" t="s">
        <v>641</v>
      </c>
      <c r="E2" t="s">
        <v>71</v>
      </c>
      <c r="F2" t="s">
        <v>73</v>
      </c>
      <c r="G2" t="s">
        <v>73</v>
      </c>
      <c r="H2" s="6" t="s">
        <v>82</v>
      </c>
      <c r="I2" s="6" t="s">
        <v>103</v>
      </c>
      <c r="J2" s="7" t="s">
        <v>435</v>
      </c>
      <c r="K2" s="7" t="s">
        <v>436</v>
      </c>
      <c r="L2" t="s">
        <v>177</v>
      </c>
      <c r="O2" t="s">
        <v>83</v>
      </c>
      <c r="P2" t="s">
        <v>98</v>
      </c>
      <c r="Q2" t="s">
        <v>180</v>
      </c>
      <c r="R2" t="s">
        <v>85</v>
      </c>
      <c r="S2" t="s">
        <v>91</v>
      </c>
      <c r="T2" t="s">
        <v>93</v>
      </c>
      <c r="U2" t="s">
        <v>100</v>
      </c>
      <c r="V2" s="6" t="s">
        <v>115</v>
      </c>
      <c r="W2" s="6" t="s">
        <v>82</v>
      </c>
      <c r="X2" t="s">
        <v>102</v>
      </c>
      <c r="Y2" t="s">
        <v>105</v>
      </c>
      <c r="Z2" s="6" t="s">
        <v>178</v>
      </c>
      <c r="AA2" t="s">
        <v>109</v>
      </c>
      <c r="AB2" s="6" t="s">
        <v>113</v>
      </c>
      <c r="AC2">
        <v>5</v>
      </c>
      <c r="AD2" t="s">
        <v>111</v>
      </c>
      <c r="AE2" t="s">
        <v>176</v>
      </c>
      <c r="AF2" t="s">
        <v>182</v>
      </c>
      <c r="AG2" s="9" t="s">
        <v>203</v>
      </c>
      <c r="AH2" t="s">
        <v>536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V2"/>
  <sheetViews>
    <sheetView workbookViewId="0">
      <selection activeCell="B3" sqref="B3"/>
    </sheetView>
  </sheetViews>
  <sheetFormatPr defaultRowHeight="14.5" x14ac:dyDescent="0.35"/>
  <cols>
    <col min="1" max="1" width="13.453125" bestFit="1" customWidth="1"/>
    <col min="2" max="2" width="23.7265625" bestFit="1" customWidth="1"/>
    <col min="3" max="3" width="10.81640625" bestFit="1" customWidth="1"/>
    <col min="4" max="4" width="15.7265625" bestFit="1" customWidth="1"/>
    <col min="5" max="5" width="13.7265625" bestFit="1" customWidth="1"/>
    <col min="6" max="6" width="11.453125" bestFit="1" customWidth="1"/>
    <col min="7" max="7" width="13.7265625" customWidth="1"/>
    <col min="8" max="8" width="14.26953125" bestFit="1" customWidth="1"/>
    <col min="9" max="9" width="15.7265625" bestFit="1" customWidth="1"/>
    <col min="10" max="10" width="15.54296875" bestFit="1" customWidth="1"/>
    <col min="11" max="11" width="11.81640625" bestFit="1" customWidth="1"/>
    <col min="15" max="15" width="12.54296875" customWidth="1"/>
    <col min="16" max="16" width="17.1796875" customWidth="1"/>
    <col min="17" max="17" width="16" customWidth="1"/>
    <col min="20" max="20" width="17.7265625" customWidth="1"/>
    <col min="21" max="21" width="12.81640625" customWidth="1"/>
    <col min="22" max="22" width="15.54296875" customWidth="1"/>
  </cols>
  <sheetData>
    <row r="1" spans="1:22" x14ac:dyDescent="0.35">
      <c r="A1" t="s">
        <v>67</v>
      </c>
      <c r="B1" t="s">
        <v>68</v>
      </c>
      <c r="C1" t="s">
        <v>69</v>
      </c>
      <c r="D1" t="s">
        <v>70</v>
      </c>
      <c r="E1" t="s">
        <v>72</v>
      </c>
      <c r="F1" t="s">
        <v>81</v>
      </c>
      <c r="G1" t="s">
        <v>101</v>
      </c>
      <c r="H1" t="s">
        <v>74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84</v>
      </c>
      <c r="P1" t="s">
        <v>127</v>
      </c>
      <c r="Q1" t="s">
        <v>92</v>
      </c>
      <c r="R1" t="s">
        <v>110</v>
      </c>
      <c r="S1" t="s">
        <v>107</v>
      </c>
      <c r="T1" t="s">
        <v>104</v>
      </c>
      <c r="U1" t="s">
        <v>84</v>
      </c>
      <c r="V1" t="s">
        <v>97</v>
      </c>
    </row>
    <row r="2" spans="1:22" x14ac:dyDescent="0.35">
      <c r="A2" t="s">
        <v>223</v>
      </c>
      <c r="B2" t="str">
        <f>AddMedication!B2</f>
        <v>Paracetamol 500mg / Ibuprofen 200mg tablets</v>
      </c>
      <c r="C2" s="6" t="s">
        <v>113</v>
      </c>
      <c r="D2" t="s">
        <v>86</v>
      </c>
      <c r="E2" t="s">
        <v>73</v>
      </c>
      <c r="F2" t="s">
        <v>73</v>
      </c>
      <c r="G2" s="6" t="s">
        <v>185</v>
      </c>
      <c r="H2" s="6" t="s">
        <v>113</v>
      </c>
      <c r="I2" s="7" t="s">
        <v>183</v>
      </c>
      <c r="J2" s="7" t="s">
        <v>184</v>
      </c>
      <c r="K2" t="s">
        <v>89</v>
      </c>
      <c r="N2" t="s">
        <v>87</v>
      </c>
      <c r="O2" t="s">
        <v>88</v>
      </c>
      <c r="P2" t="s">
        <v>176</v>
      </c>
      <c r="Q2" t="s">
        <v>93</v>
      </c>
      <c r="R2" s="6" t="s">
        <v>113</v>
      </c>
      <c r="S2" s="6" t="s">
        <v>187</v>
      </c>
      <c r="T2" t="s">
        <v>186</v>
      </c>
      <c r="U2" t="s">
        <v>188</v>
      </c>
      <c r="V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B2" sqref="B2"/>
    </sheetView>
  </sheetViews>
  <sheetFormatPr defaultRowHeight="14.5" x14ac:dyDescent="0.35"/>
  <cols>
    <col min="1" max="1" width="13.453125" bestFit="1" customWidth="1"/>
    <col min="2" max="2" width="23.7265625" bestFit="1" customWidth="1"/>
    <col min="3" max="3" width="18.81640625" bestFit="1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223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4.5" x14ac:dyDescent="0.3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4.5" x14ac:dyDescent="0.35"/>
  <cols>
    <col min="1" max="2" width="23.81640625" customWidth="1"/>
    <col min="3" max="3" width="17.453125" customWidth="1"/>
    <col min="4" max="4" width="22.26953125" customWidth="1"/>
    <col min="5" max="5" width="17.453125" customWidth="1"/>
    <col min="6" max="6" width="15.1796875" customWidth="1"/>
    <col min="7" max="7" width="17.54296875" customWidth="1"/>
    <col min="8" max="8" width="16.54296875" customWidth="1"/>
    <col min="9" max="9" width="26.81640625" customWidth="1"/>
  </cols>
  <sheetData>
    <row r="1" spans="1:9" x14ac:dyDescent="0.35">
      <c r="A1" t="s">
        <v>67</v>
      </c>
      <c r="B1" t="s">
        <v>218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35">
      <c r="A2" t="s">
        <v>200</v>
      </c>
      <c r="B2" t="s">
        <v>217</v>
      </c>
      <c r="C2" s="6" t="s">
        <v>122</v>
      </c>
      <c r="D2" t="s">
        <v>126</v>
      </c>
      <c r="E2" t="s">
        <v>117</v>
      </c>
      <c r="F2" s="8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4.5" x14ac:dyDescent="0.35"/>
  <cols>
    <col min="1" max="1" width="13.453125" bestFit="1" customWidth="1"/>
    <col min="2" max="2" width="13.453125" customWidth="1"/>
    <col min="3" max="3" width="17.453125" customWidth="1"/>
    <col min="4" max="4" width="14.453125" customWidth="1"/>
    <col min="5" max="5" width="16.453125" customWidth="1"/>
    <col min="6" max="6" width="15.26953125" customWidth="1"/>
    <col min="7" max="7" width="18" customWidth="1"/>
  </cols>
  <sheetData>
    <row r="1" spans="1:6" x14ac:dyDescent="0.3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35">
      <c r="A2" t="s">
        <v>200</v>
      </c>
      <c r="B2" s="6" t="s">
        <v>122</v>
      </c>
      <c r="C2" t="s">
        <v>126</v>
      </c>
      <c r="D2" t="s">
        <v>132</v>
      </c>
      <c r="E2" s="8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4.5" x14ac:dyDescent="0.35"/>
  <cols>
    <col min="1" max="1" width="13.453125" bestFit="1" customWidth="1"/>
    <col min="2" max="2" width="18.81640625" bestFit="1" customWidth="1"/>
  </cols>
  <sheetData>
    <row r="1" spans="1:2" x14ac:dyDescent="0.35">
      <c r="A1" t="s">
        <v>67</v>
      </c>
      <c r="B1" t="s">
        <v>123</v>
      </c>
    </row>
    <row r="2" spans="1:2" x14ac:dyDescent="0.3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4.5" x14ac:dyDescent="0.35"/>
  <cols>
    <col min="1" max="1" width="26.453125" customWidth="1"/>
    <col min="2" max="2" width="23.81640625" customWidth="1"/>
    <col min="3" max="3" width="20.7265625" customWidth="1"/>
    <col min="4" max="4" width="21.1796875" customWidth="1"/>
    <col min="5" max="5" width="19" bestFit="1" customWidth="1"/>
    <col min="6" max="6" width="11.81640625" customWidth="1"/>
  </cols>
  <sheetData>
    <row r="1" spans="1:6" x14ac:dyDescent="0.35">
      <c r="A1" t="s">
        <v>67</v>
      </c>
      <c r="B1" t="s">
        <v>218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35">
      <c r="A2" t="s">
        <v>222</v>
      </c>
      <c r="B2" t="s">
        <v>221</v>
      </c>
      <c r="C2" t="s">
        <v>126</v>
      </c>
      <c r="D2" t="s">
        <v>131</v>
      </c>
      <c r="E2" s="7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4.5" x14ac:dyDescent="0.35"/>
  <cols>
    <col min="1" max="1" width="16.81640625" bestFit="1" customWidth="1"/>
    <col min="2" max="2" width="15.81640625" bestFit="1" customWidth="1"/>
    <col min="3" max="3" width="16.1796875" bestFit="1" customWidth="1"/>
    <col min="4" max="4" width="19" bestFit="1" customWidth="1"/>
  </cols>
  <sheetData>
    <row r="1" spans="1:5" x14ac:dyDescent="0.3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35">
      <c r="A2" t="s">
        <v>222</v>
      </c>
      <c r="B2" t="s">
        <v>126</v>
      </c>
      <c r="C2" t="s">
        <v>131</v>
      </c>
      <c r="D2" s="7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4.5" x14ac:dyDescent="0.35"/>
  <cols>
    <col min="1" max="1" width="20.453125" customWidth="1"/>
    <col min="2" max="2" width="15.81640625" bestFit="1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222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6" width="19.54296875" customWidth="1"/>
    <col min="7" max="7" width="17" customWidth="1"/>
    <col min="8" max="8" width="16.26953125" bestFit="1" customWidth="1"/>
    <col min="9" max="9" width="26.7265625" bestFit="1" customWidth="1"/>
  </cols>
  <sheetData>
    <row r="1" spans="1:9" x14ac:dyDescent="0.3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29" x14ac:dyDescent="0.35">
      <c r="A2" t="s">
        <v>149</v>
      </c>
      <c r="B2" t="s">
        <v>150</v>
      </c>
      <c r="C2" s="9">
        <v>45420</v>
      </c>
      <c r="D2" s="8" t="s">
        <v>137</v>
      </c>
      <c r="E2" s="10" t="s">
        <v>220</v>
      </c>
      <c r="F2" s="6" t="s">
        <v>219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15.453125" bestFit="1" customWidth="1"/>
    <col min="4" max="4" width="9.7265625" bestFit="1" customWidth="1"/>
    <col min="5" max="5" width="10.7265625" bestFit="1" customWidth="1"/>
    <col min="6" max="6" width="15" bestFit="1" customWidth="1"/>
    <col min="7" max="7" width="36.1796875" customWidth="1"/>
    <col min="8" max="8" width="16.26953125" bestFit="1" customWidth="1"/>
    <col min="9" max="9" width="26.7265625" bestFit="1" customWidth="1"/>
  </cols>
  <sheetData>
    <row r="1" spans="1:9" x14ac:dyDescent="0.3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35">
      <c r="A2" t="s">
        <v>149</v>
      </c>
      <c r="B2" t="s">
        <v>150</v>
      </c>
      <c r="C2" s="10" t="s">
        <v>158</v>
      </c>
      <c r="D2" s="8" t="s">
        <v>154</v>
      </c>
      <c r="E2" s="10" t="s">
        <v>162</v>
      </c>
      <c r="F2" s="6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4.5" x14ac:dyDescent="0.35"/>
  <cols>
    <col min="1" max="1" width="26.26953125" customWidth="1"/>
    <col min="2" max="2" width="18.453125" customWidth="1"/>
  </cols>
  <sheetData>
    <row r="1" spans="1:2" x14ac:dyDescent="0.35">
      <c r="A1" t="s">
        <v>68</v>
      </c>
      <c r="B1" t="s">
        <v>123</v>
      </c>
    </row>
    <row r="2" spans="1:2" x14ac:dyDescent="0.3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4.5" x14ac:dyDescent="0.35"/>
  <cols>
    <col min="1" max="1" width="13.453125" bestFit="1" customWidth="1"/>
    <col min="2" max="2" width="26.1796875" bestFit="1" customWidth="1"/>
    <col min="3" max="3" width="14.81640625" bestFit="1" customWidth="1"/>
    <col min="4" max="4" width="14.81640625" customWidth="1"/>
    <col min="5" max="5" width="20.54296875" bestFit="1" customWidth="1"/>
    <col min="7" max="7" width="16.1796875" customWidth="1"/>
    <col min="9" max="11" width="10.453125" bestFit="1" customWidth="1"/>
    <col min="13" max="13" width="15.453125" customWidth="1"/>
  </cols>
  <sheetData>
    <row r="1" spans="1:14" x14ac:dyDescent="0.3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202</v>
      </c>
    </row>
    <row r="2" spans="1:14" ht="18.75" customHeight="1" x14ac:dyDescent="0.35">
      <c r="A2" t="s">
        <v>134</v>
      </c>
      <c r="B2" t="s">
        <v>135</v>
      </c>
      <c r="C2" t="s">
        <v>136</v>
      </c>
      <c r="D2" t="s">
        <v>137</v>
      </c>
      <c r="E2" t="s">
        <v>212</v>
      </c>
      <c r="F2" t="s">
        <v>159</v>
      </c>
      <c r="G2" t="s">
        <v>160</v>
      </c>
      <c r="I2" s="10" t="s">
        <v>377</v>
      </c>
      <c r="J2" s="10" t="s">
        <v>377</v>
      </c>
      <c r="K2" s="10" t="s">
        <v>158</v>
      </c>
      <c r="L2" t="s">
        <v>431</v>
      </c>
      <c r="M2" t="s">
        <v>189</v>
      </c>
      <c r="N2" s="9" t="s">
        <v>203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4.5" x14ac:dyDescent="0.35"/>
  <cols>
    <col min="1" max="1" width="13.453125" bestFit="1" customWidth="1"/>
    <col min="2" max="2" width="26.1796875" bestFit="1" customWidth="1"/>
    <col min="3" max="3" width="14.81640625" bestFit="1" customWidth="1"/>
    <col min="4" max="4" width="14.81640625" customWidth="1"/>
    <col min="5" max="5" width="20.54296875" bestFit="1" customWidth="1"/>
    <col min="7" max="7" width="12.1796875" bestFit="1" customWidth="1"/>
    <col min="9" max="11" width="10.453125" bestFit="1" customWidth="1"/>
    <col min="12" max="12" width="32.81640625" customWidth="1"/>
  </cols>
  <sheetData>
    <row r="1" spans="1:12" x14ac:dyDescent="0.3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3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10" t="s">
        <v>162</v>
      </c>
      <c r="J2" s="10" t="s">
        <v>162</v>
      </c>
      <c r="K2" s="10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4.5" x14ac:dyDescent="0.35"/>
  <cols>
    <col min="1" max="1" width="26.26953125" customWidth="1"/>
    <col min="2" max="2" width="18.453125" customWidth="1"/>
  </cols>
  <sheetData>
    <row r="1" spans="1:2" x14ac:dyDescent="0.35">
      <c r="A1" t="s">
        <v>68</v>
      </c>
      <c r="B1" t="s">
        <v>123</v>
      </c>
    </row>
    <row r="2" spans="1:2" x14ac:dyDescent="0.3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4.5" x14ac:dyDescent="0.3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</cols>
  <sheetData>
    <row r="1" spans="1:6" x14ac:dyDescent="0.3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35">
      <c r="A2" t="s">
        <v>171</v>
      </c>
      <c r="B2" t="s">
        <v>372</v>
      </c>
      <c r="C2" t="s">
        <v>132</v>
      </c>
      <c r="D2" s="8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4.5" x14ac:dyDescent="0.35"/>
  <cols>
    <col min="1" max="1" width="16.453125" customWidth="1"/>
    <col min="2" max="2" width="15.26953125" bestFit="1" customWidth="1"/>
    <col min="3" max="3" width="14.81640625" bestFit="1" customWidth="1"/>
    <col min="4" max="4" width="17.453125" customWidth="1"/>
    <col min="5" max="5" width="21.7265625" customWidth="1"/>
    <col min="6" max="6" width="14.81640625" bestFit="1" customWidth="1"/>
  </cols>
  <sheetData>
    <row r="1" spans="1:6" x14ac:dyDescent="0.3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35">
      <c r="A2" t="s">
        <v>171</v>
      </c>
      <c r="B2" t="s">
        <v>372</v>
      </c>
      <c r="C2" t="s">
        <v>117</v>
      </c>
      <c r="D2" s="8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4.5" x14ac:dyDescent="0.35"/>
  <cols>
    <col min="1" max="1" width="16.453125" customWidth="1"/>
    <col min="2" max="2" width="15.2695312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171</v>
      </c>
      <c r="B2" t="s">
        <v>372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4.5" x14ac:dyDescent="0.3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  <col min="7" max="7" width="17" customWidth="1"/>
    <col min="8" max="8" width="13.81640625" bestFit="1" customWidth="1"/>
    <col min="9" max="9" width="10.453125" bestFit="1" customWidth="1"/>
  </cols>
  <sheetData>
    <row r="1" spans="1:9" x14ac:dyDescent="0.3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35">
      <c r="A2" t="s">
        <v>194</v>
      </c>
      <c r="B2" t="s">
        <v>191</v>
      </c>
      <c r="C2" t="s">
        <v>164</v>
      </c>
      <c r="D2" s="7" t="str">
        <f ca="1">TEXT(TODAY(), "DD/MM/YYYY")</f>
        <v>18/06/2025</v>
      </c>
      <c r="E2" s="3" t="s">
        <v>198</v>
      </c>
      <c r="F2" t="s">
        <v>195</v>
      </c>
      <c r="G2" s="10" t="s">
        <v>284</v>
      </c>
      <c r="H2" s="10" t="s">
        <v>285</v>
      </c>
      <c r="I2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4.5" x14ac:dyDescent="0.35"/>
  <cols>
    <col min="1" max="1" width="16.453125" customWidth="1"/>
    <col min="2" max="2" width="21" customWidth="1"/>
    <col min="3" max="3" width="14.81640625" bestFit="1" customWidth="1"/>
    <col min="4" max="4" width="17.453125" customWidth="1"/>
    <col min="5" max="5" width="15.7265625" bestFit="1" customWidth="1"/>
    <col min="6" max="6" width="14.81640625" bestFit="1" customWidth="1"/>
    <col min="7" max="7" width="10.26953125" customWidth="1"/>
    <col min="8" max="8" width="13.81640625" bestFit="1" customWidth="1"/>
  </cols>
  <sheetData>
    <row r="1" spans="1:8" x14ac:dyDescent="0.3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35">
      <c r="A2" t="s">
        <v>194</v>
      </c>
      <c r="B2" t="s">
        <v>191</v>
      </c>
      <c r="C2" t="s">
        <v>164</v>
      </c>
      <c r="D2" s="7" t="str">
        <f ca="1">TEXT(TODAY(), "DD/MM/YYYY")</f>
        <v>18/06/2025</v>
      </c>
      <c r="E2" s="3" t="s">
        <v>199</v>
      </c>
      <c r="F2" t="s">
        <v>195</v>
      </c>
      <c r="G2" s="7" t="s">
        <v>285</v>
      </c>
      <c r="H2" s="7" t="s">
        <v>286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4.5" x14ac:dyDescent="0.35"/>
  <cols>
    <col min="1" max="1" width="16.453125" customWidth="1"/>
    <col min="2" max="2" width="15.2695312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topLeftCell="A3" workbookViewId="0">
      <selection activeCell="B2" sqref="B2"/>
    </sheetView>
  </sheetViews>
  <sheetFormatPr defaultRowHeight="14.5" x14ac:dyDescent="0.35"/>
  <cols>
    <col min="1" max="1" width="16.453125" customWidth="1"/>
    <col min="2" max="2" width="31.7265625" customWidth="1"/>
    <col min="3" max="3" width="21" customWidth="1"/>
    <col min="4" max="6" width="17.453125" customWidth="1"/>
    <col min="7" max="7" width="22.26953125" customWidth="1"/>
    <col min="8" max="8" width="20.81640625" customWidth="1"/>
    <col min="9" max="9" width="15.7265625" customWidth="1"/>
    <col min="10" max="10" width="14.81640625" bestFit="1" customWidth="1"/>
    <col min="11" max="11" width="15.7265625" customWidth="1"/>
    <col min="12" max="12" width="17.453125" customWidth="1"/>
    <col min="13" max="13" width="15" customWidth="1"/>
    <col min="14" max="14" width="12.81640625" customWidth="1"/>
  </cols>
  <sheetData>
    <row r="1" spans="1:14" x14ac:dyDescent="0.35">
      <c r="A1" t="s">
        <v>67</v>
      </c>
      <c r="B1" t="s">
        <v>68</v>
      </c>
      <c r="C1" t="s">
        <v>215</v>
      </c>
      <c r="D1" t="s">
        <v>208</v>
      </c>
      <c r="E1" t="s">
        <v>209</v>
      </c>
      <c r="F1" t="s">
        <v>210</v>
      </c>
      <c r="G1" t="s">
        <v>214</v>
      </c>
      <c r="H1" t="s">
        <v>211</v>
      </c>
      <c r="I1" t="s">
        <v>94</v>
      </c>
      <c r="J1" t="s">
        <v>127</v>
      </c>
      <c r="K1" t="s">
        <v>202</v>
      </c>
      <c r="L1" t="s">
        <v>205</v>
      </c>
      <c r="M1" t="s">
        <v>206</v>
      </c>
      <c r="N1" t="s">
        <v>202</v>
      </c>
    </row>
    <row r="2" spans="1:14" ht="18.75" customHeight="1" x14ac:dyDescent="0.35">
      <c r="A2" t="s">
        <v>213</v>
      </c>
      <c r="B2" t="s">
        <v>440</v>
      </c>
      <c r="C2" s="7" t="s">
        <v>374</v>
      </c>
      <c r="D2" s="7" t="s">
        <v>374</v>
      </c>
      <c r="E2" s="7" t="s">
        <v>103</v>
      </c>
      <c r="F2" s="7" t="s">
        <v>307</v>
      </c>
      <c r="G2" s="3" t="s">
        <v>216</v>
      </c>
      <c r="H2" s="3" t="s">
        <v>212</v>
      </c>
      <c r="I2" s="3" t="s">
        <v>207</v>
      </c>
      <c r="J2" t="s">
        <v>204</v>
      </c>
      <c r="K2" s="8" t="s">
        <v>203</v>
      </c>
      <c r="L2" t="s">
        <v>117</v>
      </c>
      <c r="M2" t="s">
        <v>207</v>
      </c>
      <c r="N2" s="9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4.5" x14ac:dyDescent="0.35"/>
  <cols>
    <col min="1" max="1" width="16.453125" customWidth="1"/>
    <col min="2" max="2" width="21" customWidth="1"/>
    <col min="3" max="3" width="17.453125" customWidth="1"/>
    <col min="4" max="4" width="15.7265625" bestFit="1" customWidth="1"/>
    <col min="5" max="5" width="14.81640625" bestFit="1" customWidth="1"/>
    <col min="6" max="6" width="17" customWidth="1"/>
    <col min="7" max="7" width="13.81640625" bestFit="1" customWidth="1"/>
    <col min="8" max="8" width="10.453125" bestFit="1" customWidth="1"/>
  </cols>
  <sheetData>
    <row r="1" spans="1:12" x14ac:dyDescent="0.35">
      <c r="A1" t="s">
        <v>67</v>
      </c>
      <c r="B1" t="s">
        <v>68</v>
      </c>
      <c r="C1" t="s">
        <v>208</v>
      </c>
      <c r="D1" t="s">
        <v>209</v>
      </c>
      <c r="E1" t="s">
        <v>210</v>
      </c>
      <c r="F1" t="s">
        <v>214</v>
      </c>
      <c r="G1" t="s">
        <v>211</v>
      </c>
      <c r="H1" t="s">
        <v>94</v>
      </c>
      <c r="I1" t="s">
        <v>127</v>
      </c>
      <c r="J1" t="s">
        <v>202</v>
      </c>
      <c r="K1" t="s">
        <v>205</v>
      </c>
      <c r="L1" t="s">
        <v>206</v>
      </c>
    </row>
    <row r="2" spans="1:12" ht="18.75" customHeight="1" x14ac:dyDescent="0.35">
      <c r="A2" t="s">
        <v>213</v>
      </c>
      <c r="B2" t="s">
        <v>440</v>
      </c>
      <c r="C2" s="7">
        <f ca="1">TODAY()</f>
        <v>45826</v>
      </c>
      <c r="D2" s="7" t="s">
        <v>103</v>
      </c>
      <c r="E2" s="7" t="s">
        <v>307</v>
      </c>
      <c r="F2" s="3" t="s">
        <v>216</v>
      </c>
      <c r="G2" s="3" t="s">
        <v>212</v>
      </c>
      <c r="H2" s="3" t="s">
        <v>207</v>
      </c>
      <c r="I2" t="s">
        <v>204</v>
      </c>
      <c r="J2" s="8" t="s">
        <v>203</v>
      </c>
      <c r="K2" t="s">
        <v>117</v>
      </c>
      <c r="L2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4.5" x14ac:dyDescent="0.35"/>
  <cols>
    <col min="1" max="1" width="16.453125" customWidth="1"/>
    <col min="2" max="2" width="2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213</v>
      </c>
      <c r="B2" t="s">
        <v>440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4.5" x14ac:dyDescent="0.35"/>
  <cols>
    <col min="7" max="7" width="26.7265625" bestFit="1" customWidth="1"/>
  </cols>
  <sheetData>
    <row r="1" spans="1:13" x14ac:dyDescent="0.3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225</v>
      </c>
      <c r="G1" t="s">
        <v>129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58" x14ac:dyDescent="0.35">
      <c r="A2" t="s">
        <v>232</v>
      </c>
      <c r="B2" t="s">
        <v>233</v>
      </c>
      <c r="C2" s="8" t="s">
        <v>137</v>
      </c>
      <c r="D2" s="3" t="s">
        <v>234</v>
      </c>
      <c r="E2" t="s">
        <v>235</v>
      </c>
      <c r="F2" t="s">
        <v>236</v>
      </c>
      <c r="G2">
        <v>57749615244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4.5" x14ac:dyDescent="0.35"/>
  <cols>
    <col min="1" max="1" width="13.453125" bestFit="1" customWidth="1"/>
    <col min="2" max="2" width="41.54296875" bestFit="1" customWidth="1"/>
    <col min="3" max="3" width="8.81640625" bestFit="1" customWidth="1"/>
    <col min="4" max="4" width="22.7265625" customWidth="1"/>
    <col min="5" max="5" width="7.81640625" bestFit="1" customWidth="1"/>
    <col min="6" max="6" width="26.7265625" bestFit="1" customWidth="1"/>
    <col min="7" max="7" width="24.1796875" style="11" bestFit="1" customWidth="1"/>
    <col min="8" max="8" width="13.54296875" style="11" bestFit="1" customWidth="1"/>
    <col min="9" max="9" width="13.7265625" style="11" bestFit="1" customWidth="1"/>
    <col min="10" max="10" width="16.81640625" style="11" bestFit="1" customWidth="1"/>
    <col min="11" max="11" width="16" style="11" bestFit="1" customWidth="1"/>
    <col min="12" max="12" width="16.453125" bestFit="1" customWidth="1"/>
    <col min="13" max="13" width="22" bestFit="1" customWidth="1"/>
  </cols>
  <sheetData>
    <row r="1" spans="1:13" x14ac:dyDescent="0.3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129</v>
      </c>
      <c r="G1" s="11" t="s">
        <v>225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29" x14ac:dyDescent="0.35">
      <c r="A2" t="s">
        <v>232</v>
      </c>
      <c r="B2" t="s">
        <v>233</v>
      </c>
      <c r="C2" s="8" t="s">
        <v>137</v>
      </c>
      <c r="D2" s="3" t="s">
        <v>240</v>
      </c>
      <c r="E2" t="s">
        <v>235</v>
      </c>
      <c r="F2">
        <v>57749615244</v>
      </c>
      <c r="G2" s="11" t="s">
        <v>236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4.5" x14ac:dyDescent="0.35"/>
  <cols>
    <col min="1" max="1" width="15.26953125" bestFit="1" customWidth="1"/>
    <col min="2" max="2" width="18.81640625" bestFit="1" customWidth="1"/>
  </cols>
  <sheetData>
    <row r="1" spans="1:2" x14ac:dyDescent="0.35">
      <c r="A1" t="s">
        <v>68</v>
      </c>
      <c r="B1" t="s">
        <v>123</v>
      </c>
    </row>
    <row r="2" spans="1:2" x14ac:dyDescent="0.35">
      <c r="A2" t="s">
        <v>233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4.5" x14ac:dyDescent="0.35"/>
  <cols>
    <col min="1" max="1" width="20.81640625" customWidth="1"/>
    <col min="2" max="2" width="23.81640625" customWidth="1"/>
    <col min="3" max="3" width="19" customWidth="1"/>
    <col min="4" max="4" width="16.54296875" customWidth="1"/>
    <col min="5" max="5" width="19.7265625" bestFit="1" customWidth="1"/>
    <col min="6" max="6" width="24.1796875" bestFit="1" customWidth="1"/>
    <col min="7" max="7" width="26.7265625" bestFit="1" customWidth="1"/>
    <col min="8" max="8" width="10.26953125" bestFit="1" customWidth="1"/>
    <col min="9" max="9" width="10" bestFit="1" customWidth="1"/>
    <col min="10" max="10" width="12.1796875" bestFit="1" customWidth="1"/>
    <col min="11" max="11" width="10.1796875" bestFit="1" customWidth="1"/>
  </cols>
  <sheetData>
    <row r="1" spans="1:11" x14ac:dyDescent="0.3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29" x14ac:dyDescent="0.35">
      <c r="A2" t="s">
        <v>247</v>
      </c>
      <c r="B2" s="6" t="s">
        <v>439</v>
      </c>
      <c r="C2" s="8" t="s">
        <v>137</v>
      </c>
      <c r="D2" s="3" t="s">
        <v>248</v>
      </c>
      <c r="E2" t="s">
        <v>249</v>
      </c>
      <c r="F2" s="12" t="s">
        <v>250</v>
      </c>
      <c r="G2" t="s">
        <v>251</v>
      </c>
      <c r="H2" s="12" t="s">
        <v>252</v>
      </c>
      <c r="I2" s="12" t="s">
        <v>253</v>
      </c>
      <c r="J2" s="12" t="s">
        <v>159</v>
      </c>
      <c r="K2" s="12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4.5" x14ac:dyDescent="0.35"/>
  <cols>
    <col min="1" max="1" width="20.81640625" customWidth="1"/>
    <col min="2" max="2" width="23.81640625" customWidth="1"/>
    <col min="3" max="3" width="19" customWidth="1"/>
    <col min="4" max="4" width="16.54296875" customWidth="1"/>
    <col min="5" max="5" width="19.7265625" bestFit="1" customWidth="1"/>
    <col min="6" max="6" width="24.1796875" bestFit="1" customWidth="1"/>
    <col min="7" max="7" width="26.7265625" bestFit="1" customWidth="1"/>
    <col min="8" max="8" width="10.26953125" bestFit="1" customWidth="1"/>
    <col min="9" max="9" width="10" bestFit="1" customWidth="1"/>
    <col min="10" max="10" width="12.1796875" bestFit="1" customWidth="1"/>
    <col min="11" max="11" width="10.1796875" bestFit="1" customWidth="1"/>
  </cols>
  <sheetData>
    <row r="1" spans="1:11" x14ac:dyDescent="0.3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29" x14ac:dyDescent="0.35">
      <c r="A2" t="s">
        <v>247</v>
      </c>
      <c r="B2" s="6" t="s">
        <v>439</v>
      </c>
      <c r="C2" s="8" t="s">
        <v>137</v>
      </c>
      <c r="D2" s="3" t="s">
        <v>254</v>
      </c>
      <c r="E2" t="s">
        <v>249</v>
      </c>
      <c r="F2" s="12" t="s">
        <v>255</v>
      </c>
      <c r="G2" t="s">
        <v>251</v>
      </c>
      <c r="H2" s="12" t="s">
        <v>256</v>
      </c>
      <c r="I2" s="12" t="s">
        <v>257</v>
      </c>
      <c r="J2" s="12" t="s">
        <v>164</v>
      </c>
      <c r="K2" s="12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4.5" x14ac:dyDescent="0.35"/>
  <cols>
    <col min="1" max="1" width="18.453125" bestFit="1" customWidth="1"/>
    <col min="2" max="2" width="18.81640625" bestFit="1" customWidth="1"/>
  </cols>
  <sheetData>
    <row r="1" spans="1:2" x14ac:dyDescent="0.35">
      <c r="A1" t="s">
        <v>68</v>
      </c>
      <c r="B1" t="s">
        <v>123</v>
      </c>
    </row>
    <row r="2" spans="1:2" x14ac:dyDescent="0.35">
      <c r="A2" s="6" t="s">
        <v>439</v>
      </c>
      <c r="B2" t="s">
        <v>258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19.54296875" customWidth="1"/>
    <col min="4" max="4" width="17" customWidth="1"/>
    <col min="5" max="5" width="16.26953125" bestFit="1" customWidth="1"/>
    <col min="6" max="6" width="26.7265625" bestFit="1" customWidth="1"/>
  </cols>
  <sheetData>
    <row r="1" spans="1:6" x14ac:dyDescent="0.35">
      <c r="A1" t="s">
        <v>67</v>
      </c>
      <c r="B1" t="s">
        <v>68</v>
      </c>
      <c r="C1" t="s">
        <v>95</v>
      </c>
      <c r="D1" t="s">
        <v>259</v>
      </c>
      <c r="E1" t="s">
        <v>127</v>
      </c>
      <c r="F1" t="s">
        <v>129</v>
      </c>
    </row>
    <row r="2" spans="1:6" ht="29" x14ac:dyDescent="0.35">
      <c r="A2" t="s">
        <v>260</v>
      </c>
      <c r="B2" t="s">
        <v>260</v>
      </c>
      <c r="C2" s="8" t="s">
        <v>137</v>
      </c>
      <c r="D2" s="3" t="s">
        <v>261</v>
      </c>
      <c r="E2" t="s">
        <v>262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36.1796875" customWidth="1"/>
    <col min="4" max="4" width="16.26953125" bestFit="1" customWidth="1"/>
  </cols>
  <sheetData>
    <row r="1" spans="1:4" x14ac:dyDescent="0.35">
      <c r="A1" t="s">
        <v>67</v>
      </c>
      <c r="B1" t="s">
        <v>68</v>
      </c>
      <c r="C1" t="s">
        <v>259</v>
      </c>
      <c r="D1" t="s">
        <v>127</v>
      </c>
    </row>
    <row r="2" spans="1:4" x14ac:dyDescent="0.35">
      <c r="A2" t="s">
        <v>260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4.5" x14ac:dyDescent="0.35"/>
  <cols>
    <col min="1" max="1" width="26.26953125" customWidth="1"/>
    <col min="2" max="2" width="18.453125" customWidth="1"/>
  </cols>
  <sheetData>
    <row r="1" spans="1:2" x14ac:dyDescent="0.35">
      <c r="A1" t="s">
        <v>68</v>
      </c>
      <c r="B1" t="s">
        <v>123</v>
      </c>
    </row>
    <row r="2" spans="1:2" x14ac:dyDescent="0.35">
      <c r="A2" t="s">
        <v>260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17.453125" customWidth="1"/>
    <col min="4" max="4" width="22.1796875" customWidth="1"/>
  </cols>
  <sheetData>
    <row r="1" spans="1:4" x14ac:dyDescent="0.35">
      <c r="A1" t="s">
        <v>67</v>
      </c>
      <c r="B1" t="s">
        <v>68</v>
      </c>
      <c r="C1" t="s">
        <v>268</v>
      </c>
      <c r="D1" t="s">
        <v>127</v>
      </c>
    </row>
    <row r="2" spans="1:4" ht="43.5" x14ac:dyDescent="0.35">
      <c r="A2" t="s">
        <v>269</v>
      </c>
      <c r="B2" t="s">
        <v>264</v>
      </c>
      <c r="C2" s="3" t="s">
        <v>265</v>
      </c>
      <c r="D2" t="s">
        <v>266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4.5" x14ac:dyDescent="0.35"/>
  <cols>
    <col min="1" max="1" width="13.453125" bestFit="1" customWidth="1"/>
    <col min="2" max="2" width="21.54296875" bestFit="1" customWidth="1"/>
    <col min="3" max="3" width="17.453125" customWidth="1"/>
    <col min="4" max="4" width="22.1796875" customWidth="1"/>
  </cols>
  <sheetData>
    <row r="1" spans="1:4" x14ac:dyDescent="0.35">
      <c r="A1" t="s">
        <v>67</v>
      </c>
      <c r="B1" t="s">
        <v>68</v>
      </c>
      <c r="C1" t="s">
        <v>268</v>
      </c>
      <c r="D1" t="s">
        <v>127</v>
      </c>
    </row>
    <row r="2" spans="1:4" ht="43.5" x14ac:dyDescent="0.35">
      <c r="A2" t="s">
        <v>269</v>
      </c>
      <c r="B2" t="s">
        <v>264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4.5" x14ac:dyDescent="0.35"/>
  <cols>
    <col min="1" max="1" width="28.1796875" customWidth="1"/>
    <col min="2" max="2" width="21.5429687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269</v>
      </c>
      <c r="B2" t="s">
        <v>264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4.5" x14ac:dyDescent="0.35"/>
  <cols>
    <col min="1" max="1" width="19.26953125" customWidth="1"/>
    <col min="2" max="2" width="21.54296875" bestFit="1" customWidth="1"/>
    <col min="3" max="3" width="17.453125" customWidth="1"/>
    <col min="4" max="4" width="22.1796875" customWidth="1"/>
  </cols>
  <sheetData>
    <row r="1" spans="1:4" x14ac:dyDescent="0.35">
      <c r="A1" t="s">
        <v>67</v>
      </c>
      <c r="B1" t="s">
        <v>68</v>
      </c>
      <c r="C1" t="s">
        <v>273</v>
      </c>
      <c r="D1" t="s">
        <v>127</v>
      </c>
    </row>
    <row r="2" spans="1:4" ht="29" x14ac:dyDescent="0.35">
      <c r="A2" t="s">
        <v>274</v>
      </c>
      <c r="B2" s="6" t="s">
        <v>331</v>
      </c>
      <c r="C2" s="3" t="s">
        <v>272</v>
      </c>
      <c r="D2" t="s">
        <v>271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4.5" x14ac:dyDescent="0.35"/>
  <cols>
    <col min="1" max="1" width="19.26953125" customWidth="1"/>
    <col min="2" max="2" width="21.54296875" bestFit="1" customWidth="1"/>
    <col min="3" max="3" width="17.453125" customWidth="1"/>
    <col min="4" max="4" width="22.1796875" customWidth="1"/>
  </cols>
  <sheetData>
    <row r="1" spans="1:4" x14ac:dyDescent="0.35">
      <c r="A1" t="s">
        <v>67</v>
      </c>
      <c r="B1" t="s">
        <v>68</v>
      </c>
      <c r="C1" t="s">
        <v>273</v>
      </c>
      <c r="D1" t="s">
        <v>127</v>
      </c>
    </row>
    <row r="2" spans="1:4" ht="29" x14ac:dyDescent="0.35">
      <c r="A2" t="s">
        <v>274</v>
      </c>
      <c r="B2" s="6" t="s">
        <v>331</v>
      </c>
      <c r="C2" s="3" t="s">
        <v>275</v>
      </c>
      <c r="D2" t="s">
        <v>271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4.5" x14ac:dyDescent="0.35"/>
  <cols>
    <col min="1" max="1" width="28.1796875" customWidth="1"/>
    <col min="2" max="2" width="21.5429687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270</v>
      </c>
      <c r="B2" s="6" t="s">
        <v>331</v>
      </c>
      <c r="C2" t="s">
        <v>276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4.5" x14ac:dyDescent="0.35"/>
  <cols>
    <col min="1" max="1" width="13.453125" bestFit="1" customWidth="1"/>
    <col min="2" max="2" width="17.26953125" customWidth="1"/>
    <col min="3" max="4" width="16.7265625" customWidth="1"/>
  </cols>
  <sheetData>
    <row r="1" spans="1:4" x14ac:dyDescent="0.35">
      <c r="A1" t="s">
        <v>67</v>
      </c>
      <c r="B1" t="s">
        <v>68</v>
      </c>
      <c r="C1" t="s">
        <v>278</v>
      </c>
      <c r="D1" t="s">
        <v>127</v>
      </c>
    </row>
    <row r="2" spans="1:4" ht="29" x14ac:dyDescent="0.35">
      <c r="A2" t="s">
        <v>279</v>
      </c>
      <c r="B2" t="s">
        <v>373</v>
      </c>
      <c r="C2" s="3" t="s">
        <v>281</v>
      </c>
      <c r="D2" t="s">
        <v>277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4.5" x14ac:dyDescent="0.35"/>
  <cols>
    <col min="1" max="1" width="13.453125" bestFit="1" customWidth="1"/>
    <col min="2" max="2" width="17.26953125" customWidth="1"/>
    <col min="3" max="4" width="16.7265625" customWidth="1"/>
  </cols>
  <sheetData>
    <row r="1" spans="1:4" x14ac:dyDescent="0.35">
      <c r="A1" t="s">
        <v>67</v>
      </c>
      <c r="B1" t="s">
        <v>68</v>
      </c>
      <c r="C1" t="s">
        <v>278</v>
      </c>
      <c r="D1" t="s">
        <v>127</v>
      </c>
    </row>
    <row r="2" spans="1:4" ht="29" x14ac:dyDescent="0.35">
      <c r="A2" t="s">
        <v>279</v>
      </c>
      <c r="B2" t="s">
        <v>373</v>
      </c>
      <c r="C2" s="3" t="s">
        <v>280</v>
      </c>
      <c r="D2" t="s">
        <v>277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4.5" x14ac:dyDescent="0.35"/>
  <cols>
    <col min="1" max="1" width="28.1796875" customWidth="1"/>
    <col min="2" max="2" width="21.54296875" bestFit="1" customWidth="1"/>
    <col min="3" max="3" width="18.453125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279</v>
      </c>
      <c r="B2" t="s">
        <v>373</v>
      </c>
      <c r="C2" t="s">
        <v>282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F1" sqref="F1"/>
    </sheetView>
  </sheetViews>
  <sheetFormatPr defaultRowHeight="14.5" x14ac:dyDescent="0.3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</cols>
  <sheetData>
    <row r="1" spans="1:17" x14ac:dyDescent="0.3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35">
      <c r="A2" t="s">
        <v>287</v>
      </c>
      <c r="B2" t="s">
        <v>288</v>
      </c>
      <c r="C2" s="3" t="s">
        <v>207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4.5" x14ac:dyDescent="0.3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  <col min="17" max="17" width="23" bestFit="1" customWidth="1"/>
  </cols>
  <sheetData>
    <row r="1" spans="1:21" x14ac:dyDescent="0.3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  <c r="R1" t="s">
        <v>316</v>
      </c>
      <c r="S1" t="s">
        <v>317</v>
      </c>
      <c r="T1" t="s">
        <v>318</v>
      </c>
      <c r="U1" t="s">
        <v>318</v>
      </c>
    </row>
    <row r="2" spans="1:21" x14ac:dyDescent="0.35">
      <c r="A2" t="s">
        <v>287</v>
      </c>
      <c r="B2" t="s">
        <v>288</v>
      </c>
      <c r="C2" s="3" t="s">
        <v>313</v>
      </c>
      <c r="D2" t="s">
        <v>289</v>
      </c>
      <c r="F2" t="s">
        <v>312</v>
      </c>
      <c r="G2" t="s">
        <v>314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315</v>
      </c>
      <c r="R2" s="6" t="s">
        <v>319</v>
      </c>
      <c r="S2" s="6" t="s">
        <v>320</v>
      </c>
      <c r="T2" s="6" t="s">
        <v>319</v>
      </c>
      <c r="U2" s="6" t="s">
        <v>321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4.5" x14ac:dyDescent="0.35"/>
  <cols>
    <col min="1" max="1" width="16.453125" customWidth="1"/>
    <col min="2" max="3" width="25.54296875" customWidth="1"/>
    <col min="4" max="4" width="20" customWidth="1"/>
    <col min="5" max="5" width="20.26953125" customWidth="1"/>
    <col min="6" max="6" width="14.81640625" bestFit="1" customWidth="1"/>
  </cols>
  <sheetData>
    <row r="1" spans="1:6" x14ac:dyDescent="0.3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34.5" customHeight="1" x14ac:dyDescent="0.35">
      <c r="A2" t="s">
        <v>324</v>
      </c>
      <c r="B2" t="s">
        <v>325</v>
      </c>
      <c r="C2" s="7" t="s">
        <v>326</v>
      </c>
      <c r="D2" s="7" t="s">
        <v>327</v>
      </c>
      <c r="E2" s="3" t="s">
        <v>328</v>
      </c>
      <c r="F2" t="s">
        <v>329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4.5" x14ac:dyDescent="0.35"/>
  <cols>
    <col min="1" max="1" width="16.453125" customWidth="1"/>
    <col min="2" max="3" width="25.54296875" customWidth="1"/>
    <col min="4" max="4" width="20" customWidth="1"/>
    <col min="5" max="5" width="19.26953125" customWidth="1"/>
    <col min="6" max="6" width="14.81640625" bestFit="1" customWidth="1"/>
  </cols>
  <sheetData>
    <row r="1" spans="1:6" x14ac:dyDescent="0.3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18.75" customHeight="1" x14ac:dyDescent="0.35">
      <c r="A2" t="s">
        <v>324</v>
      </c>
      <c r="B2" t="s">
        <v>325</v>
      </c>
      <c r="C2" s="7" t="s">
        <v>326</v>
      </c>
      <c r="D2" s="7" t="s">
        <v>327</v>
      </c>
      <c r="E2" s="3" t="s">
        <v>330</v>
      </c>
      <c r="F2" t="s">
        <v>329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4.5" x14ac:dyDescent="0.35"/>
  <cols>
    <col min="1" max="1" width="16.453125" customWidth="1"/>
    <col min="2" max="2" width="25.54296875" customWidth="1"/>
  </cols>
  <sheetData>
    <row r="1" spans="1:2" x14ac:dyDescent="0.35">
      <c r="A1" t="s">
        <v>67</v>
      </c>
      <c r="B1" t="s">
        <v>68</v>
      </c>
    </row>
    <row r="2" spans="1:2" x14ac:dyDescent="0.35">
      <c r="A2" t="s">
        <v>324</v>
      </c>
      <c r="B2" t="s">
        <v>325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4.5" x14ac:dyDescent="0.35"/>
  <cols>
    <col min="1" max="1" width="13.453125" bestFit="1" customWidth="1"/>
    <col min="2" max="2" width="15.26953125" bestFit="1" customWidth="1"/>
    <col min="3" max="3" width="20.1796875" bestFit="1" customWidth="1"/>
    <col min="4" max="4" width="19.81640625" bestFit="1" customWidth="1"/>
  </cols>
  <sheetData>
    <row r="1" spans="1:4" x14ac:dyDescent="0.35">
      <c r="A1" t="s">
        <v>67</v>
      </c>
      <c r="B1" t="s">
        <v>68</v>
      </c>
      <c r="C1" t="s">
        <v>127</v>
      </c>
      <c r="D1" t="s">
        <v>332</v>
      </c>
    </row>
    <row r="2" spans="1:4" x14ac:dyDescent="0.3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4.5" x14ac:dyDescent="0.35"/>
  <cols>
    <col min="1" max="1" width="13.453125" bestFit="1" customWidth="1"/>
    <col min="2" max="2" width="15.26953125" bestFit="1" customWidth="1"/>
    <col min="3" max="3" width="20.1796875" bestFit="1" customWidth="1"/>
    <col min="4" max="4" width="19" bestFit="1" customWidth="1"/>
  </cols>
  <sheetData>
    <row r="1" spans="1:4" x14ac:dyDescent="0.35">
      <c r="A1" t="s">
        <v>67</v>
      </c>
      <c r="B1" t="s">
        <v>68</v>
      </c>
      <c r="C1" t="s">
        <v>127</v>
      </c>
      <c r="D1" t="s">
        <v>332</v>
      </c>
    </row>
    <row r="2" spans="1:4" x14ac:dyDescent="0.3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4.5" x14ac:dyDescent="0.35"/>
  <cols>
    <col min="1" max="1" width="13.453125" bestFit="1" customWidth="1"/>
    <col min="2" max="2" width="15.26953125" bestFit="1" customWidth="1"/>
    <col min="3" max="3" width="18.81640625" bestFit="1" customWidth="1"/>
  </cols>
  <sheetData>
    <row r="1" spans="1:3" x14ac:dyDescent="0.35">
      <c r="A1" t="s">
        <v>67</v>
      </c>
      <c r="B1" t="s">
        <v>68</v>
      </c>
      <c r="C1" t="s">
        <v>123</v>
      </c>
    </row>
    <row r="2" spans="1:3" x14ac:dyDescent="0.35">
      <c r="A2" t="s">
        <v>333</v>
      </c>
      <c r="B2" s="6" t="s">
        <v>334</v>
      </c>
      <c r="C2" s="6" t="s">
        <v>337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4.5" x14ac:dyDescent="0.35"/>
  <cols>
    <col min="1" max="1" width="15.81640625" bestFit="1" customWidth="1"/>
    <col min="2" max="2" width="14.1796875" bestFit="1" customWidth="1"/>
    <col min="3" max="3" width="14.26953125" bestFit="1" customWidth="1"/>
    <col min="4" max="5" width="14.26953125" customWidth="1"/>
    <col min="6" max="6" width="10.453125" bestFit="1" customWidth="1"/>
    <col min="7" max="7" width="10.54296875" bestFit="1" customWidth="1"/>
    <col min="8" max="8" width="16.453125" bestFit="1" customWidth="1"/>
    <col min="9" max="9" width="11" bestFit="1" customWidth="1"/>
    <col min="10" max="10" width="20.54296875" bestFit="1" customWidth="1"/>
    <col min="11" max="11" width="17.26953125" bestFit="1" customWidth="1"/>
    <col min="12" max="12" width="13.26953125" bestFit="1" customWidth="1"/>
    <col min="15" max="15" width="21" bestFit="1" customWidth="1"/>
  </cols>
  <sheetData>
    <row r="1" spans="1:15" x14ac:dyDescent="0.35">
      <c r="A1" t="s">
        <v>338</v>
      </c>
      <c r="B1" t="s">
        <v>339</v>
      </c>
      <c r="C1" t="s">
        <v>340</v>
      </c>
      <c r="D1" t="s">
        <v>341</v>
      </c>
      <c r="E1" t="s">
        <v>342</v>
      </c>
      <c r="F1" t="s">
        <v>343</v>
      </c>
      <c r="G1" t="s">
        <v>344</v>
      </c>
      <c r="H1" t="s">
        <v>345</v>
      </c>
      <c r="I1" t="s">
        <v>346</v>
      </c>
      <c r="J1" t="s">
        <v>347</v>
      </c>
      <c r="K1" t="s">
        <v>348</v>
      </c>
      <c r="L1" t="s">
        <v>349</v>
      </c>
      <c r="M1" t="s">
        <v>350</v>
      </c>
      <c r="N1" t="s">
        <v>351</v>
      </c>
      <c r="O1" t="s">
        <v>352</v>
      </c>
    </row>
    <row r="2" spans="1:15" x14ac:dyDescent="0.35">
      <c r="A2" t="s">
        <v>353</v>
      </c>
      <c r="B2" s="10" t="s">
        <v>354</v>
      </c>
      <c r="C2" s="13" t="s">
        <v>355</v>
      </c>
      <c r="D2" s="13" t="s">
        <v>356</v>
      </c>
      <c r="E2" s="13" t="s">
        <v>357</v>
      </c>
      <c r="F2" t="s">
        <v>358</v>
      </c>
      <c r="G2" t="s">
        <v>371</v>
      </c>
      <c r="H2" t="s">
        <v>98</v>
      </c>
      <c r="I2" t="s">
        <v>359</v>
      </c>
      <c r="J2" t="s">
        <v>360</v>
      </c>
      <c r="K2" t="s">
        <v>361</v>
      </c>
      <c r="L2" t="s">
        <v>362</v>
      </c>
      <c r="M2" s="6" t="s">
        <v>321</v>
      </c>
      <c r="N2" s="6" t="s">
        <v>363</v>
      </c>
      <c r="O2" t="s">
        <v>364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4.5" x14ac:dyDescent="0.35"/>
  <cols>
    <col min="1" max="1" width="10.7265625" bestFit="1" customWidth="1"/>
    <col min="2" max="2" width="9.54296875" bestFit="1" customWidth="1"/>
    <col min="3" max="3" width="8.81640625" bestFit="1" customWidth="1"/>
    <col min="4" max="4" width="10.54296875" bestFit="1" customWidth="1"/>
    <col min="5" max="5" width="16.453125" bestFit="1" customWidth="1"/>
    <col min="6" max="6" width="11" bestFit="1" customWidth="1"/>
    <col min="7" max="7" width="17.26953125" bestFit="1" customWidth="1"/>
    <col min="8" max="8" width="13.26953125" bestFit="1" customWidth="1"/>
    <col min="11" max="11" width="21" bestFit="1" customWidth="1"/>
  </cols>
  <sheetData>
    <row r="1" spans="1:11" x14ac:dyDescent="0.35">
      <c r="A1" t="s">
        <v>365</v>
      </c>
      <c r="B1" t="s">
        <v>366</v>
      </c>
      <c r="C1" t="s">
        <v>343</v>
      </c>
      <c r="D1" t="s">
        <v>344</v>
      </c>
      <c r="E1" t="s">
        <v>345</v>
      </c>
      <c r="F1" t="s">
        <v>346</v>
      </c>
      <c r="G1" t="s">
        <v>367</v>
      </c>
      <c r="H1" t="s">
        <v>303</v>
      </c>
      <c r="I1" t="s">
        <v>350</v>
      </c>
      <c r="J1" t="s">
        <v>351</v>
      </c>
      <c r="K1" t="s">
        <v>352</v>
      </c>
    </row>
    <row r="2" spans="1:11" x14ac:dyDescent="0.35">
      <c r="A2" s="10" t="s">
        <v>368</v>
      </c>
      <c r="B2" s="13" t="s">
        <v>369</v>
      </c>
      <c r="C2" t="s">
        <v>358</v>
      </c>
      <c r="D2" t="s">
        <v>371</v>
      </c>
      <c r="E2" t="s">
        <v>98</v>
      </c>
      <c r="F2" t="s">
        <v>359</v>
      </c>
      <c r="G2" t="s">
        <v>361</v>
      </c>
      <c r="H2" t="s">
        <v>370</v>
      </c>
      <c r="I2" s="6" t="s">
        <v>321</v>
      </c>
      <c r="J2" s="6" t="s">
        <v>363</v>
      </c>
      <c r="K2" t="s">
        <v>364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4.5" x14ac:dyDescent="0.35"/>
  <cols>
    <col min="1" max="1" width="15.26953125" customWidth="1"/>
    <col min="2" max="2" width="17.453125" customWidth="1"/>
    <col min="3" max="3" width="23.1796875" customWidth="1"/>
    <col min="4" max="4" width="14.7265625" customWidth="1"/>
    <col min="5" max="5" width="21.7265625" customWidth="1"/>
    <col min="6" max="6" width="12" customWidth="1"/>
    <col min="7" max="7" width="15.81640625" customWidth="1"/>
    <col min="8" max="8" width="20.54296875" customWidth="1"/>
    <col min="9" max="10" width="19.7265625" customWidth="1"/>
    <col min="12" max="12" width="23" customWidth="1"/>
    <col min="13" max="13" width="20.54296875" customWidth="1"/>
    <col min="14" max="14" width="11.7265625" customWidth="1"/>
    <col min="15" max="15" width="21.1796875" customWidth="1"/>
  </cols>
  <sheetData>
    <row r="1" spans="1:16" x14ac:dyDescent="0.3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35">
      <c r="A2" t="s">
        <v>405</v>
      </c>
      <c r="B2" t="s">
        <v>379</v>
      </c>
      <c r="C2" t="s">
        <v>386</v>
      </c>
      <c r="D2" t="s">
        <v>387</v>
      </c>
      <c r="E2" t="s">
        <v>388</v>
      </c>
      <c r="F2" t="s">
        <v>389</v>
      </c>
      <c r="G2" t="s">
        <v>390</v>
      </c>
      <c r="H2" t="s">
        <v>391</v>
      </c>
      <c r="I2" t="s">
        <v>393</v>
      </c>
      <c r="J2" t="s">
        <v>395</v>
      </c>
      <c r="K2" t="s">
        <v>397</v>
      </c>
      <c r="L2" t="s">
        <v>399</v>
      </c>
      <c r="M2" t="s">
        <v>401</v>
      </c>
      <c r="N2" t="s">
        <v>406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4.5" x14ac:dyDescent="0.35"/>
  <cols>
    <col min="1" max="1" width="15.26953125" customWidth="1"/>
    <col min="2" max="2" width="17.453125" customWidth="1"/>
    <col min="3" max="3" width="23.1796875" customWidth="1"/>
    <col min="4" max="4" width="14.7265625" customWidth="1"/>
    <col min="5" max="5" width="21.7265625" customWidth="1"/>
    <col min="6" max="6" width="12" customWidth="1"/>
    <col min="7" max="7" width="15.81640625" customWidth="1"/>
    <col min="8" max="8" width="20.54296875" customWidth="1"/>
    <col min="9" max="10" width="19.7265625" customWidth="1"/>
    <col min="12" max="12" width="23" customWidth="1"/>
    <col min="13" max="13" width="20.54296875" customWidth="1"/>
    <col min="14" max="14" width="11.7265625" customWidth="1"/>
    <col min="15" max="15" width="21.1796875" customWidth="1"/>
  </cols>
  <sheetData>
    <row r="1" spans="1:16" x14ac:dyDescent="0.3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35">
      <c r="A2" t="s">
        <v>405</v>
      </c>
      <c r="B2" t="s">
        <v>379</v>
      </c>
      <c r="C2" t="s">
        <v>386</v>
      </c>
      <c r="D2" t="s">
        <v>387</v>
      </c>
      <c r="E2" t="s">
        <v>407</v>
      </c>
      <c r="F2" t="s">
        <v>389</v>
      </c>
      <c r="G2" t="s">
        <v>390</v>
      </c>
      <c r="H2" t="s">
        <v>408</v>
      </c>
      <c r="I2" t="s">
        <v>393</v>
      </c>
      <c r="J2" t="s">
        <v>395</v>
      </c>
      <c r="K2" t="s">
        <v>409</v>
      </c>
      <c r="L2" t="s">
        <v>399</v>
      </c>
      <c r="M2" t="s">
        <v>401</v>
      </c>
      <c r="N2" t="s">
        <v>410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4.5" x14ac:dyDescent="0.35"/>
  <cols>
    <col min="1" max="1" width="20.54296875" customWidth="1"/>
    <col min="2" max="2" width="18.26953125" customWidth="1"/>
    <col min="3" max="3" width="14.1796875" customWidth="1"/>
    <col min="4" max="4" width="19.1796875" customWidth="1"/>
    <col min="5" max="5" width="12.453125" customWidth="1"/>
    <col min="6" max="6" width="16.453125" customWidth="1"/>
    <col min="7" max="7" width="11.81640625" customWidth="1"/>
    <col min="8" max="8" width="13.54296875" customWidth="1"/>
    <col min="9" max="9" width="11.7265625" customWidth="1"/>
    <col min="10" max="10" width="13.26953125" customWidth="1"/>
    <col min="11" max="11" width="18.26953125" customWidth="1"/>
  </cols>
  <sheetData>
    <row r="1" spans="1:12" x14ac:dyDescent="0.3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419</v>
      </c>
      <c r="H1" t="s">
        <v>420</v>
      </c>
      <c r="I1" t="s">
        <v>421</v>
      </c>
      <c r="J1" t="s">
        <v>422</v>
      </c>
      <c r="K1" t="s">
        <v>423</v>
      </c>
      <c r="L1" t="s">
        <v>429</v>
      </c>
    </row>
    <row r="2" spans="1:12" x14ac:dyDescent="0.35">
      <c r="A2" s="7" t="s">
        <v>427</v>
      </c>
      <c r="B2" s="8" t="str">
        <f ca="1">TEXT(TODAY(), "DD/MM/YYYY")</f>
        <v>18/06/2025</v>
      </c>
      <c r="C2" t="s">
        <v>417</v>
      </c>
      <c r="D2" t="s">
        <v>418</v>
      </c>
      <c r="E2" t="s">
        <v>307</v>
      </c>
      <c r="F2" t="s">
        <v>117</v>
      </c>
      <c r="H2" t="s">
        <v>424</v>
      </c>
      <c r="I2" t="s">
        <v>425</v>
      </c>
      <c r="J2" t="s">
        <v>426</v>
      </c>
      <c r="K2" t="s">
        <v>428</v>
      </c>
      <c r="L2" t="s">
        <v>430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3" sqref="C3"/>
    </sheetView>
  </sheetViews>
  <sheetFormatPr defaultRowHeight="14.5" x14ac:dyDescent="0.35"/>
  <cols>
    <col min="1" max="1" width="13.453125" bestFit="1" customWidth="1"/>
    <col min="2" max="2" width="18.54296875" bestFit="1" customWidth="1"/>
    <col min="3" max="4" width="16.7265625" customWidth="1"/>
    <col min="5" max="5" width="11.54296875" bestFit="1" customWidth="1"/>
    <col min="12" max="12" width="11.54296875" bestFit="1" customWidth="1"/>
    <col min="13" max="13" width="15" bestFit="1" customWidth="1"/>
    <col min="16" max="16" width="11.26953125" bestFit="1" customWidth="1"/>
  </cols>
  <sheetData>
    <row r="1" spans="1:17" x14ac:dyDescent="0.35">
      <c r="A1" t="s">
        <v>67</v>
      </c>
      <c r="B1" t="s">
        <v>68</v>
      </c>
      <c r="C1" s="14" t="s">
        <v>123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35">
      <c r="A2" t="s">
        <v>287</v>
      </c>
      <c r="B2" t="s">
        <v>288</v>
      </c>
      <c r="C2" s="3" t="s">
        <v>258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D593C-0211-4209-AF2A-C9DAEA3833CA}">
  <dimension ref="A1:D2"/>
  <sheetViews>
    <sheetView workbookViewId="0">
      <selection activeCell="D2" sqref="D2"/>
    </sheetView>
  </sheetViews>
  <sheetFormatPr defaultRowHeight="14.5" x14ac:dyDescent="0.35"/>
  <cols>
    <col min="1" max="1" width="12.90625" bestFit="1" customWidth="1"/>
    <col min="2" max="2" width="12" bestFit="1" customWidth="1"/>
    <col min="3" max="3" width="7.453125" bestFit="1" customWidth="1"/>
    <col min="4" max="4" width="10.453125" bestFit="1" customWidth="1"/>
  </cols>
  <sheetData>
    <row r="1" spans="1:4" x14ac:dyDescent="0.35">
      <c r="A1" t="s">
        <v>7</v>
      </c>
      <c r="B1" t="s">
        <v>8</v>
      </c>
      <c r="C1" t="s">
        <v>9</v>
      </c>
      <c r="D1" t="s">
        <v>10</v>
      </c>
    </row>
    <row r="2" spans="1:4" x14ac:dyDescent="0.35">
      <c r="A2" s="3" t="s">
        <v>441</v>
      </c>
      <c r="B2" s="3" t="s">
        <v>442</v>
      </c>
      <c r="C2" s="3" t="s">
        <v>443</v>
      </c>
      <c r="D2" s="6" t="s">
        <v>444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FE73-9A12-4221-A381-CB00E26B6D80}">
  <dimension ref="A1:O2"/>
  <sheetViews>
    <sheetView topLeftCell="I1" workbookViewId="0">
      <selection activeCell="N3" sqref="N3"/>
    </sheetView>
  </sheetViews>
  <sheetFormatPr defaultRowHeight="14.5" x14ac:dyDescent="0.35"/>
  <cols>
    <col min="1" max="1" width="18.6328125" bestFit="1" customWidth="1"/>
    <col min="2" max="2" width="8.453125" bestFit="1" customWidth="1"/>
    <col min="3" max="3" width="19.453125" bestFit="1" customWidth="1"/>
    <col min="4" max="4" width="16.36328125" bestFit="1" customWidth="1"/>
    <col min="5" max="5" width="14.7265625" bestFit="1" customWidth="1"/>
    <col min="6" max="6" width="8.6328125" bestFit="1" customWidth="1"/>
    <col min="7" max="7" width="14.08984375" bestFit="1" customWidth="1"/>
    <col min="8" max="8" width="19.453125" bestFit="1" customWidth="1"/>
    <col min="9" max="9" width="24.90625" bestFit="1" customWidth="1"/>
    <col min="10" max="10" width="12.26953125" bestFit="1" customWidth="1"/>
    <col min="11" max="11" width="17.81640625" bestFit="1" customWidth="1"/>
    <col min="12" max="12" width="12" bestFit="1" customWidth="1"/>
    <col min="13" max="13" width="10" bestFit="1" customWidth="1"/>
    <col min="14" max="14" width="15.453125" bestFit="1" customWidth="1"/>
    <col min="15" max="15" width="17.08984375" bestFit="1" customWidth="1"/>
  </cols>
  <sheetData>
    <row r="1" spans="1:15" x14ac:dyDescent="0.35">
      <c r="A1" t="s">
        <v>445</v>
      </c>
      <c r="B1" t="s">
        <v>446</v>
      </c>
      <c r="C1" t="s">
        <v>447</v>
      </c>
      <c r="D1" t="s">
        <v>448</v>
      </c>
      <c r="E1" t="s">
        <v>449</v>
      </c>
      <c r="F1" t="s">
        <v>450</v>
      </c>
      <c r="G1" t="s">
        <v>451</v>
      </c>
      <c r="H1" t="s">
        <v>452</v>
      </c>
      <c r="I1" t="s">
        <v>453</v>
      </c>
      <c r="J1" t="s">
        <v>454</v>
      </c>
      <c r="K1" t="s">
        <v>455</v>
      </c>
      <c r="L1" t="s">
        <v>456</v>
      </c>
      <c r="M1" t="s">
        <v>457</v>
      </c>
      <c r="N1" t="s">
        <v>458</v>
      </c>
      <c r="O1" t="s">
        <v>459</v>
      </c>
    </row>
    <row r="2" spans="1:15" x14ac:dyDescent="0.35">
      <c r="A2" t="s">
        <v>460</v>
      </c>
      <c r="B2" t="s">
        <v>461</v>
      </c>
      <c r="C2" t="s">
        <v>462</v>
      </c>
      <c r="D2" t="s">
        <v>463</v>
      </c>
      <c r="E2" s="7" t="s">
        <v>464</v>
      </c>
      <c r="F2" t="str">
        <f>LOWER(G2)</f>
        <v>primary</v>
      </c>
      <c r="G2" t="s">
        <v>212</v>
      </c>
      <c r="H2" t="str">
        <f>LOWER(I2)</f>
        <v>internal</v>
      </c>
      <c r="I2" t="s">
        <v>465</v>
      </c>
      <c r="J2" t="str">
        <f>LOWER(K2)</f>
        <v>left</v>
      </c>
      <c r="K2" t="s">
        <v>103</v>
      </c>
      <c r="L2" t="s">
        <v>466</v>
      </c>
      <c r="M2" t="str">
        <f>LOWER(N2)</f>
        <v>implanted</v>
      </c>
      <c r="N2" t="s">
        <v>467</v>
      </c>
      <c r="O2" s="6" t="s">
        <v>468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70FEE-6B1F-41AF-B992-BCB179E19A76}">
  <dimension ref="A1:P2"/>
  <sheetViews>
    <sheetView workbookViewId="0">
      <selection activeCell="O2" sqref="O2"/>
    </sheetView>
  </sheetViews>
  <sheetFormatPr defaultRowHeight="14.5" x14ac:dyDescent="0.35"/>
  <cols>
    <col min="1" max="1" width="18.6328125" bestFit="1" customWidth="1"/>
    <col min="2" max="2" width="8.453125" bestFit="1" customWidth="1"/>
    <col min="3" max="3" width="19.453125" bestFit="1" customWidth="1"/>
    <col min="4" max="4" width="16.36328125" bestFit="1" customWidth="1"/>
    <col min="5" max="5" width="18" bestFit="1" customWidth="1"/>
    <col min="6" max="6" width="14.7265625" bestFit="1" customWidth="1"/>
    <col min="7" max="7" width="8.6328125" bestFit="1" customWidth="1"/>
    <col min="8" max="8" width="14.08984375" bestFit="1" customWidth="1"/>
    <col min="9" max="9" width="19.453125" bestFit="1" customWidth="1"/>
    <col min="10" max="10" width="24.90625" bestFit="1" customWidth="1"/>
    <col min="11" max="11" width="12.26953125" bestFit="1" customWidth="1"/>
    <col min="12" max="12" width="17.81640625" bestFit="1" customWidth="1"/>
    <col min="13" max="13" width="12" bestFit="1" customWidth="1"/>
    <col min="14" max="14" width="10" bestFit="1" customWidth="1"/>
    <col min="15" max="15" width="15.453125" bestFit="1" customWidth="1"/>
    <col min="16" max="16" width="18.08984375" bestFit="1" customWidth="1"/>
  </cols>
  <sheetData>
    <row r="1" spans="1:16" x14ac:dyDescent="0.35">
      <c r="A1" t="s">
        <v>445</v>
      </c>
      <c r="B1" t="s">
        <v>446</v>
      </c>
      <c r="C1" t="s">
        <v>447</v>
      </c>
      <c r="D1" t="s">
        <v>448</v>
      </c>
      <c r="E1" t="s">
        <v>469</v>
      </c>
      <c r="F1" t="s">
        <v>449</v>
      </c>
      <c r="G1" t="s">
        <v>450</v>
      </c>
      <c r="H1" t="s">
        <v>451</v>
      </c>
      <c r="I1" t="s">
        <v>452</v>
      </c>
      <c r="J1" t="s">
        <v>453</v>
      </c>
      <c r="K1" t="s">
        <v>454</v>
      </c>
      <c r="L1" t="s">
        <v>455</v>
      </c>
      <c r="M1" t="s">
        <v>456</v>
      </c>
      <c r="N1" t="s">
        <v>457</v>
      </c>
      <c r="O1" t="s">
        <v>458</v>
      </c>
      <c r="P1" t="s">
        <v>470</v>
      </c>
    </row>
    <row r="2" spans="1:16" x14ac:dyDescent="0.35">
      <c r="A2" t="s">
        <v>460</v>
      </c>
      <c r="B2" t="s">
        <v>471</v>
      </c>
      <c r="C2" t="s">
        <v>462</v>
      </c>
      <c r="D2" t="s">
        <v>472</v>
      </c>
      <c r="E2" t="s">
        <v>473</v>
      </c>
      <c r="F2" s="7" t="s">
        <v>474</v>
      </c>
      <c r="G2" t="str">
        <f>SUBSTITUTE(LOWER(H2)," ","")</f>
        <v>firststage</v>
      </c>
      <c r="H2" t="s">
        <v>475</v>
      </c>
      <c r="I2" t="str">
        <f>LOWER(J2)</f>
        <v>external</v>
      </c>
      <c r="J2" t="s">
        <v>476</v>
      </c>
      <c r="K2" t="str">
        <f>LOWER(L2)</f>
        <v>right</v>
      </c>
      <c r="L2" t="s">
        <v>185</v>
      </c>
      <c r="M2" t="s">
        <v>477</v>
      </c>
      <c r="N2" t="str">
        <f>LOWER(O2)</f>
        <v>requested</v>
      </c>
      <c r="O2" t="s">
        <v>207</v>
      </c>
      <c r="P2" t="s">
        <v>478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5AEBB-372B-4AEC-8EA9-31363B2BEC69}">
  <dimension ref="A1:K7"/>
  <sheetViews>
    <sheetView workbookViewId="0"/>
  </sheetViews>
  <sheetFormatPr defaultRowHeight="14.5" x14ac:dyDescent="0.35"/>
  <cols>
    <col min="1" max="1" width="33.08984375" bestFit="1" customWidth="1"/>
    <col min="2" max="2" width="23.81640625" bestFit="1" customWidth="1"/>
    <col min="3" max="3" width="20.81640625" bestFit="1" customWidth="1"/>
    <col min="4" max="4" width="33" bestFit="1" customWidth="1"/>
    <col min="5" max="5" width="19.6328125" bestFit="1" customWidth="1"/>
    <col min="6" max="6" width="18.81640625" bestFit="1" customWidth="1"/>
    <col min="7" max="7" width="16.6328125" bestFit="1" customWidth="1"/>
    <col min="8" max="8" width="21.26953125" bestFit="1" customWidth="1"/>
    <col min="9" max="10" width="21.26953125" customWidth="1"/>
    <col min="11" max="11" width="37.08984375" bestFit="1" customWidth="1"/>
    <col min="12" max="12" width="12" bestFit="1" customWidth="1"/>
  </cols>
  <sheetData>
    <row r="1" spans="1:11" x14ac:dyDescent="0.35">
      <c r="A1" t="s">
        <v>480</v>
      </c>
      <c r="B1" t="s">
        <v>481</v>
      </c>
      <c r="C1" t="s">
        <v>482</v>
      </c>
      <c r="D1" t="s">
        <v>483</v>
      </c>
      <c r="E1" t="s">
        <v>484</v>
      </c>
      <c r="F1" t="s">
        <v>485</v>
      </c>
      <c r="G1" t="s">
        <v>486</v>
      </c>
      <c r="H1" t="s">
        <v>487</v>
      </c>
      <c r="I1" t="s">
        <v>488</v>
      </c>
      <c r="J1" t="s">
        <v>489</v>
      </c>
      <c r="K1" t="s">
        <v>490</v>
      </c>
    </row>
    <row r="2" spans="1:11" x14ac:dyDescent="0.35">
      <c r="A2" t="s">
        <v>491</v>
      </c>
      <c r="B2" t="s">
        <v>492</v>
      </c>
      <c r="C2" t="s">
        <v>493</v>
      </c>
      <c r="D2" t="s">
        <v>494</v>
      </c>
      <c r="E2" t="s">
        <v>495</v>
      </c>
      <c r="F2" t="s">
        <v>496</v>
      </c>
      <c r="G2" t="s">
        <v>497</v>
      </c>
      <c r="K2" t="s">
        <v>498</v>
      </c>
    </row>
    <row r="3" spans="1:11" x14ac:dyDescent="0.35">
      <c r="A3" t="s">
        <v>499</v>
      </c>
      <c r="B3" t="s">
        <v>500</v>
      </c>
      <c r="C3" t="s">
        <v>501</v>
      </c>
      <c r="D3" t="s">
        <v>100</v>
      </c>
      <c r="K3" t="s">
        <v>502</v>
      </c>
    </row>
    <row r="4" spans="1:11" x14ac:dyDescent="0.35">
      <c r="A4" t="s">
        <v>503</v>
      </c>
      <c r="B4" t="s">
        <v>504</v>
      </c>
      <c r="C4" t="s">
        <v>505</v>
      </c>
      <c r="D4" t="s">
        <v>506</v>
      </c>
      <c r="E4" t="s">
        <v>507</v>
      </c>
      <c r="K4" t="s">
        <v>508</v>
      </c>
    </row>
    <row r="5" spans="1:11" x14ac:dyDescent="0.35">
      <c r="A5" t="s">
        <v>509</v>
      </c>
      <c r="B5" t="s">
        <v>510</v>
      </c>
      <c r="C5" s="3" t="s">
        <v>511</v>
      </c>
      <c r="D5" t="s">
        <v>512</v>
      </c>
      <c r="E5" t="s">
        <v>513</v>
      </c>
      <c r="F5" t="s">
        <v>510</v>
      </c>
      <c r="G5" t="s">
        <v>511</v>
      </c>
      <c r="H5" t="s">
        <v>512</v>
      </c>
      <c r="I5" t="s">
        <v>100</v>
      </c>
      <c r="J5" t="s">
        <v>100</v>
      </c>
      <c r="K5" t="s">
        <v>514</v>
      </c>
    </row>
    <row r="6" spans="1:11" x14ac:dyDescent="0.35">
      <c r="C6" s="3"/>
    </row>
    <row r="7" spans="1:11" x14ac:dyDescent="0.3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0D5-47E1-495B-AA2A-B893D5A1F055}">
  <dimension ref="A1:N5"/>
  <sheetViews>
    <sheetView topLeftCell="G1" workbookViewId="0">
      <selection activeCell="L1" sqref="L1:N6"/>
    </sheetView>
  </sheetViews>
  <sheetFormatPr defaultRowHeight="14.5" x14ac:dyDescent="0.35"/>
  <cols>
    <col min="1" max="1" width="33.08984375" bestFit="1" customWidth="1"/>
    <col min="2" max="2" width="38" bestFit="1" customWidth="1"/>
    <col min="3" max="3" width="21.26953125" bestFit="1" customWidth="1"/>
    <col min="4" max="4" width="35.1796875" bestFit="1" customWidth="1"/>
    <col min="5" max="5" width="25.36328125" bestFit="1" customWidth="1"/>
    <col min="6" max="6" width="15.36328125" bestFit="1" customWidth="1"/>
    <col min="7" max="7" width="21.26953125" bestFit="1" customWidth="1"/>
    <col min="8" max="10" width="15.36328125" bestFit="1" customWidth="1"/>
    <col min="11" max="11" width="36.90625" bestFit="1" customWidth="1"/>
    <col min="12" max="12" width="18.08984375" bestFit="1" customWidth="1"/>
    <col min="13" max="13" width="19.453125" bestFit="1" customWidth="1"/>
    <col min="14" max="14" width="18" bestFit="1" customWidth="1"/>
  </cols>
  <sheetData>
    <row r="1" spans="1:14" x14ac:dyDescent="0.35">
      <c r="A1" t="s">
        <v>480</v>
      </c>
      <c r="B1" t="s">
        <v>481</v>
      </c>
      <c r="C1" t="s">
        <v>482</v>
      </c>
      <c r="D1" t="s">
        <v>483</v>
      </c>
      <c r="E1" t="s">
        <v>484</v>
      </c>
      <c r="F1" t="s">
        <v>485</v>
      </c>
      <c r="G1" t="s">
        <v>486</v>
      </c>
      <c r="H1" t="s">
        <v>487</v>
      </c>
      <c r="I1" t="s">
        <v>488</v>
      </c>
      <c r="J1" t="s">
        <v>489</v>
      </c>
      <c r="K1" t="s">
        <v>490</v>
      </c>
      <c r="L1" t="s">
        <v>515</v>
      </c>
      <c r="M1" t="s">
        <v>516</v>
      </c>
      <c r="N1" t="s">
        <v>123</v>
      </c>
    </row>
    <row r="2" spans="1:14" x14ac:dyDescent="0.35">
      <c r="A2" t="s">
        <v>491</v>
      </c>
      <c r="B2" t="s">
        <v>517</v>
      </c>
      <c r="C2" t="s">
        <v>518</v>
      </c>
      <c r="D2" t="s">
        <v>519</v>
      </c>
      <c r="E2" t="s">
        <v>520</v>
      </c>
      <c r="F2" t="s">
        <v>521</v>
      </c>
      <c r="G2" t="s">
        <v>522</v>
      </c>
      <c r="K2" t="s">
        <v>523</v>
      </c>
      <c r="L2" s="6" t="s">
        <v>524</v>
      </c>
      <c r="M2" s="6" t="s">
        <v>524</v>
      </c>
      <c r="N2" t="s">
        <v>525</v>
      </c>
    </row>
    <row r="3" spans="1:14" x14ac:dyDescent="0.35">
      <c r="A3" t="s">
        <v>499</v>
      </c>
      <c r="B3" t="s">
        <v>526</v>
      </c>
      <c r="C3" t="s">
        <v>527</v>
      </c>
      <c r="D3" t="s">
        <v>60</v>
      </c>
      <c r="K3" t="s">
        <v>528</v>
      </c>
      <c r="L3" s="6" t="s">
        <v>524</v>
      </c>
      <c r="M3" s="6" t="s">
        <v>524</v>
      </c>
      <c r="N3" t="s">
        <v>525</v>
      </c>
    </row>
    <row r="4" spans="1:14" x14ac:dyDescent="0.35">
      <c r="A4" t="s">
        <v>503</v>
      </c>
      <c r="B4" t="s">
        <v>529</v>
      </c>
      <c r="C4" t="s">
        <v>530</v>
      </c>
      <c r="D4" t="s">
        <v>531</v>
      </c>
      <c r="E4" t="s">
        <v>532</v>
      </c>
      <c r="K4" t="s">
        <v>533</v>
      </c>
      <c r="L4" s="6" t="s">
        <v>524</v>
      </c>
      <c r="M4" s="6" t="s">
        <v>524</v>
      </c>
      <c r="N4" t="s">
        <v>525</v>
      </c>
    </row>
    <row r="5" spans="1:14" x14ac:dyDescent="0.35">
      <c r="A5" t="s">
        <v>509</v>
      </c>
      <c r="B5" s="3" t="s">
        <v>511</v>
      </c>
      <c r="C5" t="s">
        <v>512</v>
      </c>
      <c r="D5" t="s">
        <v>513</v>
      </c>
      <c r="E5" t="s">
        <v>510</v>
      </c>
      <c r="F5" t="s">
        <v>511</v>
      </c>
      <c r="G5" t="s">
        <v>512</v>
      </c>
      <c r="H5" t="s">
        <v>510</v>
      </c>
      <c r="I5" t="s">
        <v>60</v>
      </c>
      <c r="J5" t="s">
        <v>60</v>
      </c>
      <c r="K5" t="s">
        <v>534</v>
      </c>
      <c r="L5" s="6" t="s">
        <v>524</v>
      </c>
      <c r="M5" s="6" t="s">
        <v>524</v>
      </c>
      <c r="N5" t="s">
        <v>525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7C59-F13D-4C7B-A343-BB4EFCC5792C}">
  <dimension ref="A1:U4"/>
  <sheetViews>
    <sheetView topLeftCell="O1" workbookViewId="0">
      <selection activeCell="S2" sqref="A2:S2"/>
    </sheetView>
  </sheetViews>
  <sheetFormatPr defaultRowHeight="14.5" x14ac:dyDescent="0.35"/>
  <cols>
    <col min="1" max="1" width="14.453125" bestFit="1" customWidth="1"/>
    <col min="2" max="3" width="17.6328125" bestFit="1" customWidth="1"/>
    <col min="4" max="4" width="21.90625" bestFit="1" customWidth="1"/>
    <col min="5" max="7" width="17.6328125" customWidth="1"/>
    <col min="8" max="8" width="24" bestFit="1" customWidth="1"/>
    <col min="9" max="9" width="32.08984375" bestFit="1" customWidth="1"/>
    <col min="10" max="10" width="17.6328125" customWidth="1"/>
    <col min="11" max="11" width="26" bestFit="1" customWidth="1"/>
    <col min="12" max="12" width="21.453125" bestFit="1" customWidth="1"/>
    <col min="13" max="13" width="18.6328125" bestFit="1" customWidth="1"/>
    <col min="14" max="14" width="23.7265625" bestFit="1" customWidth="1"/>
    <col min="15" max="15" width="20.26953125" bestFit="1" customWidth="1"/>
    <col min="16" max="16" width="21.36328125" bestFit="1" customWidth="1"/>
    <col min="17" max="17" width="23.26953125" bestFit="1" customWidth="1"/>
    <col min="18" max="18" width="25.453125" bestFit="1" customWidth="1"/>
    <col min="19" max="19" width="23.1796875" bestFit="1" customWidth="1"/>
    <col min="20" max="20" width="27.81640625" bestFit="1" customWidth="1"/>
    <col min="21" max="21" width="21.81640625" bestFit="1" customWidth="1"/>
  </cols>
  <sheetData>
    <row r="1" spans="1:21" x14ac:dyDescent="0.35">
      <c r="A1" t="s">
        <v>68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584</v>
      </c>
      <c r="H1" t="s">
        <v>585</v>
      </c>
      <c r="I1" t="s">
        <v>586</v>
      </c>
      <c r="J1" t="s">
        <v>587</v>
      </c>
      <c r="K1" t="s">
        <v>588</v>
      </c>
      <c r="L1" t="s">
        <v>589</v>
      </c>
      <c r="M1" t="s">
        <v>590</v>
      </c>
      <c r="N1" t="s">
        <v>591</v>
      </c>
      <c r="O1" t="s">
        <v>545</v>
      </c>
      <c r="P1" t="s">
        <v>592</v>
      </c>
      <c r="Q1" t="s">
        <v>593</v>
      </c>
      <c r="R1" t="s">
        <v>594</v>
      </c>
      <c r="S1" t="s">
        <v>595</v>
      </c>
      <c r="T1" t="s">
        <v>551</v>
      </c>
      <c r="U1" t="s">
        <v>554</v>
      </c>
    </row>
    <row r="2" spans="1:21" x14ac:dyDescent="0.35">
      <c r="A2" t="s">
        <v>546</v>
      </c>
      <c r="B2" t="s">
        <v>572</v>
      </c>
      <c r="C2" t="s">
        <v>573</v>
      </c>
      <c r="D2" t="s">
        <v>574</v>
      </c>
      <c r="E2" t="s">
        <v>575</v>
      </c>
      <c r="F2" t="s">
        <v>576</v>
      </c>
      <c r="G2" t="s">
        <v>577</v>
      </c>
      <c r="H2" t="s">
        <v>600</v>
      </c>
      <c r="I2" t="s">
        <v>578</v>
      </c>
      <c r="J2" t="s">
        <v>579</v>
      </c>
      <c r="K2" t="s">
        <v>580</v>
      </c>
      <c r="L2" t="s">
        <v>581</v>
      </c>
      <c r="M2" t="s">
        <v>582</v>
      </c>
      <c r="N2" t="s">
        <v>583</v>
      </c>
      <c r="P2" t="s">
        <v>596</v>
      </c>
      <c r="Q2" t="s">
        <v>597</v>
      </c>
      <c r="R2" t="s">
        <v>598</v>
      </c>
      <c r="S2" t="s">
        <v>599</v>
      </c>
      <c r="U2" t="s">
        <v>546</v>
      </c>
    </row>
    <row r="3" spans="1:21" x14ac:dyDescent="0.35">
      <c r="A3" t="s">
        <v>553</v>
      </c>
      <c r="B3" t="s">
        <v>549</v>
      </c>
      <c r="C3" t="s">
        <v>550</v>
      </c>
      <c r="D3" t="s">
        <v>319</v>
      </c>
      <c r="O3" t="s">
        <v>548</v>
      </c>
      <c r="T3" t="s">
        <v>552</v>
      </c>
      <c r="U3" t="s">
        <v>547</v>
      </c>
    </row>
    <row r="4" spans="1:21" x14ac:dyDescent="0.35">
      <c r="A4" t="s">
        <v>564</v>
      </c>
      <c r="O4" t="s">
        <v>565</v>
      </c>
      <c r="T4" t="s">
        <v>567</v>
      </c>
      <c r="U4" t="s">
        <v>566</v>
      </c>
    </row>
  </sheetData>
  <phoneticPr fontId="3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EE698-ED81-42DF-AF70-0D9AAC45D1CA}">
  <dimension ref="A1:X5"/>
  <sheetViews>
    <sheetView workbookViewId="0"/>
  </sheetViews>
  <sheetFormatPr defaultRowHeight="14.5" x14ac:dyDescent="0.35"/>
  <cols>
    <col min="1" max="1" width="14.54296875" customWidth="1"/>
    <col min="2" max="3" width="17.81640625" bestFit="1" customWidth="1"/>
    <col min="4" max="4" width="29" bestFit="1" customWidth="1"/>
    <col min="5" max="7" width="17.81640625" bestFit="1" customWidth="1"/>
    <col min="8" max="8" width="30.90625" bestFit="1" customWidth="1"/>
    <col min="9" max="9" width="22.1796875" bestFit="1" customWidth="1"/>
    <col min="10" max="10" width="17.81640625" bestFit="1" customWidth="1"/>
    <col min="11" max="11" width="33.36328125" bestFit="1" customWidth="1"/>
    <col min="12" max="12" width="33.08984375" bestFit="1" customWidth="1"/>
    <col min="13" max="13" width="18.81640625" bestFit="1" customWidth="1"/>
    <col min="14" max="14" width="31.1796875" bestFit="1" customWidth="1"/>
    <col min="15" max="15" width="14.54296875" bestFit="1" customWidth="1"/>
    <col min="16" max="16" width="17.81640625" bestFit="1" customWidth="1"/>
    <col min="17" max="17" width="19.36328125" bestFit="1" customWidth="1"/>
    <col min="18" max="18" width="21.81640625" bestFit="1" customWidth="1"/>
    <col min="19" max="19" width="19.6328125" bestFit="1" customWidth="1"/>
    <col min="20" max="20" width="22.08984375" bestFit="1" customWidth="1"/>
    <col min="21" max="21" width="14.7265625" bestFit="1" customWidth="1"/>
    <col min="22" max="22" width="17.26953125" bestFit="1" customWidth="1"/>
    <col min="23" max="23" width="18.6328125" bestFit="1" customWidth="1"/>
    <col min="24" max="24" width="18" bestFit="1" customWidth="1"/>
  </cols>
  <sheetData>
    <row r="1" spans="1:24" x14ac:dyDescent="0.35">
      <c r="A1" t="s">
        <v>68</v>
      </c>
      <c r="B1" t="s">
        <v>540</v>
      </c>
      <c r="C1" t="s">
        <v>541</v>
      </c>
      <c r="D1" t="s">
        <v>542</v>
      </c>
      <c r="E1" t="s">
        <v>543</v>
      </c>
      <c r="F1" t="s">
        <v>544</v>
      </c>
      <c r="G1" t="s">
        <v>584</v>
      </c>
      <c r="H1" t="s">
        <v>585</v>
      </c>
      <c r="I1" t="s">
        <v>586</v>
      </c>
      <c r="J1" t="s">
        <v>587</v>
      </c>
      <c r="K1" t="s">
        <v>588</v>
      </c>
      <c r="L1" t="s">
        <v>589</v>
      </c>
      <c r="M1" t="s">
        <v>590</v>
      </c>
      <c r="N1" t="s">
        <v>591</v>
      </c>
      <c r="O1" t="s">
        <v>545</v>
      </c>
      <c r="P1" t="s">
        <v>592</v>
      </c>
      <c r="Q1" t="s">
        <v>593</v>
      </c>
      <c r="R1" t="s">
        <v>594</v>
      </c>
      <c r="S1" t="s">
        <v>595</v>
      </c>
      <c r="T1" t="s">
        <v>554</v>
      </c>
      <c r="U1" t="s">
        <v>133</v>
      </c>
      <c r="V1" t="s">
        <v>556</v>
      </c>
      <c r="W1" t="s">
        <v>557</v>
      </c>
      <c r="X1" t="s">
        <v>123</v>
      </c>
    </row>
    <row r="2" spans="1:24" x14ac:dyDescent="0.35">
      <c r="A2" t="s">
        <v>546</v>
      </c>
      <c r="B2" t="s">
        <v>576</v>
      </c>
      <c r="C2" t="s">
        <v>577</v>
      </c>
      <c r="D2" t="s">
        <v>605</v>
      </c>
      <c r="E2" t="s">
        <v>606</v>
      </c>
      <c r="F2" t="s">
        <v>572</v>
      </c>
      <c r="G2" t="s">
        <v>573</v>
      </c>
      <c r="H2" t="s">
        <v>607</v>
      </c>
      <c r="I2" t="s">
        <v>581</v>
      </c>
      <c r="J2" t="s">
        <v>582</v>
      </c>
      <c r="K2" t="s">
        <v>608</v>
      </c>
      <c r="L2" t="s">
        <v>578</v>
      </c>
      <c r="M2" t="s">
        <v>579</v>
      </c>
      <c r="N2" t="s">
        <v>609</v>
      </c>
      <c r="P2" t="s">
        <v>601</v>
      </c>
      <c r="Q2" t="s">
        <v>602</v>
      </c>
      <c r="R2" t="s">
        <v>603</v>
      </c>
      <c r="S2" t="s">
        <v>604</v>
      </c>
      <c r="T2" t="s">
        <v>546</v>
      </c>
      <c r="U2" s="6" t="s">
        <v>555</v>
      </c>
      <c r="V2" s="6" t="s">
        <v>555</v>
      </c>
      <c r="W2" s="6" t="s">
        <v>555</v>
      </c>
      <c r="X2" t="s">
        <v>558</v>
      </c>
    </row>
    <row r="3" spans="1:24" x14ac:dyDescent="0.35">
      <c r="A3" t="s">
        <v>553</v>
      </c>
      <c r="B3" s="6" t="s">
        <v>559</v>
      </c>
      <c r="C3" s="6" t="s">
        <v>560</v>
      </c>
      <c r="D3" s="6" t="s">
        <v>561</v>
      </c>
      <c r="E3" s="6" t="s">
        <v>187</v>
      </c>
      <c r="F3" s="6" t="s">
        <v>562</v>
      </c>
      <c r="G3" s="6"/>
      <c r="H3" s="6"/>
      <c r="I3" s="6"/>
      <c r="J3" s="6"/>
      <c r="K3" s="6"/>
      <c r="L3" s="6"/>
      <c r="M3" s="6"/>
      <c r="N3" s="6"/>
      <c r="O3" t="s">
        <v>563</v>
      </c>
      <c r="T3" t="s">
        <v>547</v>
      </c>
      <c r="V3" s="6" t="s">
        <v>555</v>
      </c>
      <c r="W3" s="6" t="s">
        <v>555</v>
      </c>
      <c r="X3" t="s">
        <v>558</v>
      </c>
    </row>
    <row r="4" spans="1:24" x14ac:dyDescent="0.35">
      <c r="A4" t="s">
        <v>564</v>
      </c>
      <c r="B4" s="6" t="s">
        <v>568</v>
      </c>
      <c r="C4" s="6" t="s">
        <v>569</v>
      </c>
      <c r="O4" t="s">
        <v>570</v>
      </c>
      <c r="T4" t="s">
        <v>566</v>
      </c>
      <c r="V4" s="6" t="s">
        <v>571</v>
      </c>
      <c r="W4" s="6" t="s">
        <v>571</v>
      </c>
      <c r="X4" t="s">
        <v>558</v>
      </c>
    </row>
    <row r="5" spans="1:24" x14ac:dyDescent="0.35">
      <c r="V5" s="6"/>
      <c r="W5" s="6"/>
    </row>
  </sheetData>
  <phoneticPr fontId="3" type="noConversion"/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E2DD-D099-43B2-BA92-EA00DEE08B55}">
  <dimension ref="A1:Q2"/>
  <sheetViews>
    <sheetView topLeftCell="Q1" workbookViewId="0">
      <selection activeCell="Q1" sqref="Q1"/>
    </sheetView>
  </sheetViews>
  <sheetFormatPr defaultRowHeight="14.5" x14ac:dyDescent="0.35"/>
  <cols>
    <col min="1" max="1" width="19.81640625" bestFit="1" customWidth="1"/>
    <col min="2" max="2" width="16" bestFit="1" customWidth="1"/>
    <col min="3" max="3" width="17.453125" bestFit="1" customWidth="1"/>
    <col min="4" max="4" width="16.1796875" bestFit="1" customWidth="1"/>
    <col min="5" max="5" width="15.54296875" bestFit="1" customWidth="1"/>
    <col min="6" max="6" width="19.81640625" bestFit="1" customWidth="1"/>
    <col min="7" max="8" width="19.6328125" bestFit="1" customWidth="1"/>
    <col min="9" max="9" width="13.7265625" bestFit="1" customWidth="1"/>
    <col min="10" max="10" width="24.6328125" bestFit="1" customWidth="1"/>
    <col min="11" max="11" width="26.453125" bestFit="1" customWidth="1"/>
    <col min="12" max="12" width="23" bestFit="1" customWidth="1"/>
    <col min="13" max="13" width="25.6328125" bestFit="1" customWidth="1"/>
    <col min="14" max="14" width="24.81640625" bestFit="1" customWidth="1"/>
    <col min="15" max="15" width="17.90625" bestFit="1" customWidth="1"/>
    <col min="16" max="16" width="13.1796875" bestFit="1" customWidth="1"/>
    <col min="17" max="17" width="255.6328125" bestFit="1" customWidth="1"/>
  </cols>
  <sheetData>
    <row r="1" spans="1:17" x14ac:dyDescent="0.35">
      <c r="A1" t="s">
        <v>610</v>
      </c>
      <c r="B1" t="s">
        <v>611</v>
      </c>
      <c r="C1" t="s">
        <v>612</v>
      </c>
      <c r="D1" t="s">
        <v>613</v>
      </c>
      <c r="E1" t="s">
        <v>614</v>
      </c>
      <c r="F1" t="s">
        <v>615</v>
      </c>
      <c r="G1" t="s">
        <v>616</v>
      </c>
      <c r="H1" t="s">
        <v>617</v>
      </c>
      <c r="I1" t="s">
        <v>618</v>
      </c>
      <c r="J1" t="s">
        <v>619</v>
      </c>
      <c r="K1" t="s">
        <v>620</v>
      </c>
      <c r="L1" t="s">
        <v>621</v>
      </c>
      <c r="M1" t="s">
        <v>622</v>
      </c>
      <c r="N1" t="s">
        <v>623</v>
      </c>
      <c r="O1" t="s">
        <v>624</v>
      </c>
      <c r="P1" t="s">
        <v>625</v>
      </c>
      <c r="Q1" t="s">
        <v>643</v>
      </c>
    </row>
    <row r="2" spans="1:17" x14ac:dyDescent="0.35">
      <c r="A2" t="s">
        <v>626</v>
      </c>
      <c r="B2" t="s">
        <v>627</v>
      </c>
      <c r="C2" t="s">
        <v>628</v>
      </c>
      <c r="D2" s="7" t="s">
        <v>642</v>
      </c>
      <c r="E2" s="7" t="s">
        <v>654</v>
      </c>
      <c r="F2" t="s">
        <v>629</v>
      </c>
      <c r="G2" t="s">
        <v>630</v>
      </c>
      <c r="H2" t="s">
        <v>631</v>
      </c>
      <c r="I2" t="s">
        <v>632</v>
      </c>
      <c r="J2" t="s">
        <v>633</v>
      </c>
      <c r="K2" t="s">
        <v>634</v>
      </c>
      <c r="L2" t="s">
        <v>635</v>
      </c>
      <c r="M2" t="s">
        <v>636</v>
      </c>
      <c r="N2" t="s">
        <v>637</v>
      </c>
      <c r="O2" t="s">
        <v>638</v>
      </c>
      <c r="P2" t="s">
        <v>639</v>
      </c>
      <c r="Q2" s="11" t="s">
        <v>655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C6A1B-AAB3-467B-B35D-67887A5D3127}">
  <dimension ref="A1:S2"/>
  <sheetViews>
    <sheetView tabSelected="1" workbookViewId="0"/>
  </sheetViews>
  <sheetFormatPr defaultRowHeight="14.5" x14ac:dyDescent="0.35"/>
  <cols>
    <col min="1" max="1" width="19.81640625" bestFit="1" customWidth="1"/>
    <col min="2" max="2" width="16" bestFit="1" customWidth="1"/>
    <col min="3" max="3" width="17.453125" bestFit="1" customWidth="1"/>
    <col min="4" max="4" width="17.453125" customWidth="1"/>
    <col min="5" max="5" width="16.1796875" bestFit="1" customWidth="1"/>
    <col min="6" max="6" width="15.54296875" bestFit="1" customWidth="1"/>
    <col min="7" max="7" width="17.54296875" bestFit="1" customWidth="1"/>
    <col min="8" max="8" width="19.81640625" bestFit="1" customWidth="1"/>
    <col min="9" max="10" width="19.6328125" bestFit="1" customWidth="1"/>
    <col min="11" max="11" width="13.90625" bestFit="1" customWidth="1"/>
    <col min="12" max="12" width="22.08984375" bestFit="1" customWidth="1"/>
    <col min="13" max="13" width="24.90625" bestFit="1" customWidth="1"/>
    <col min="14" max="14" width="20.08984375" bestFit="1" customWidth="1"/>
    <col min="15" max="15" width="16.81640625" bestFit="1" customWidth="1"/>
    <col min="16" max="16" width="24.26953125" bestFit="1" customWidth="1"/>
    <col min="17" max="17" width="14.26953125" bestFit="1" customWidth="1"/>
    <col min="18" max="18" width="14.54296875" bestFit="1" customWidth="1"/>
  </cols>
  <sheetData>
    <row r="1" spans="1:19" x14ac:dyDescent="0.35">
      <c r="A1" t="s">
        <v>610</v>
      </c>
      <c r="B1" t="s">
        <v>611</v>
      </c>
      <c r="C1" t="s">
        <v>657</v>
      </c>
      <c r="D1" t="s">
        <v>612</v>
      </c>
      <c r="E1" t="s">
        <v>613</v>
      </c>
      <c r="F1" t="s">
        <v>614</v>
      </c>
      <c r="G1" t="s">
        <v>653</v>
      </c>
      <c r="H1" t="s">
        <v>615</v>
      </c>
      <c r="I1" t="s">
        <v>616</v>
      </c>
      <c r="J1" t="s">
        <v>617</v>
      </c>
      <c r="K1" t="s">
        <v>618</v>
      </c>
      <c r="L1" t="s">
        <v>619</v>
      </c>
      <c r="M1" t="s">
        <v>620</v>
      </c>
      <c r="N1" t="s">
        <v>621</v>
      </c>
      <c r="O1" t="s">
        <v>622</v>
      </c>
      <c r="P1" t="s">
        <v>623</v>
      </c>
      <c r="Q1" t="s">
        <v>624</v>
      </c>
      <c r="R1" t="s">
        <v>625</v>
      </c>
      <c r="S1" t="s">
        <v>643</v>
      </c>
    </row>
    <row r="2" spans="1:19" x14ac:dyDescent="0.35">
      <c r="A2" t="s">
        <v>626</v>
      </c>
      <c r="B2" t="s">
        <v>627</v>
      </c>
      <c r="C2" t="s">
        <v>645</v>
      </c>
      <c r="D2" t="str">
        <f>LOWER(C2)</f>
        <v>withdrawn</v>
      </c>
      <c r="E2" s="7" t="s">
        <v>642</v>
      </c>
      <c r="F2" s="7" t="s">
        <v>436</v>
      </c>
      <c r="G2" s="7" t="s">
        <v>436</v>
      </c>
      <c r="H2" t="s">
        <v>629</v>
      </c>
      <c r="I2" t="s">
        <v>630</v>
      </c>
      <c r="J2" t="s">
        <v>631</v>
      </c>
      <c r="K2" t="s">
        <v>644</v>
      </c>
      <c r="L2" t="s">
        <v>646</v>
      </c>
      <c r="M2" t="s">
        <v>647</v>
      </c>
      <c r="N2" t="s">
        <v>648</v>
      </c>
      <c r="O2" t="s">
        <v>649</v>
      </c>
      <c r="P2" t="s">
        <v>650</v>
      </c>
      <c r="Q2" t="s">
        <v>651</v>
      </c>
      <c r="R2" t="s">
        <v>652</v>
      </c>
      <c r="S2" s="11" t="s">
        <v>656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70</vt:i4>
      </vt:variant>
    </vt:vector>
  </HeadingPairs>
  <TitlesOfParts>
    <vt:vector size="70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Thayne Davis-Sampson</cp:lastModifiedBy>
  <dcterms:created xsi:type="dcterms:W3CDTF">2015-06-05T18:17:20Z</dcterms:created>
  <dcterms:modified xsi:type="dcterms:W3CDTF">2025-06-19T01:49:26Z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495ed277-3476-4c00-8f48-def4048ed50c</vt:lpwstr>
  </property>
</Properties>
</file>